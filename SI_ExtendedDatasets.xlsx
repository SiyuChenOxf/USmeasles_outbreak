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ornellprod-my.sharepoint.com/personal/sc3447_cornell_edu/Documents/research/2026projects/JAMAResearchLetter/PNAS/"/>
    </mc:Choice>
  </mc:AlternateContent>
  <xr:revisionPtr revIDLastSave="0" documentId="8_{0531E818-ED50-4D2A-BB8C-DB6EF16E23CB}" xr6:coauthVersionLast="47" xr6:coauthVersionMax="47" xr10:uidLastSave="{00000000-0000-0000-0000-000000000000}"/>
  <bookViews>
    <workbookView xWindow="28680" yWindow="-120" windowWidth="29040" windowHeight="15720" tabRatio="500" activeTab="4" xr2:uid="{00000000-000D-0000-FFFF-FFFF00000000}"/>
  </bookViews>
  <sheets>
    <sheet name="1_TX_K_Coverage" sheetId="1" r:id="rId1"/>
    <sheet name="2_TX_7th_Coverage" sheetId="2" r:id="rId2"/>
    <sheet name="3_TX_Enrollment" sheetId="3" r:id="rId3"/>
    <sheet name="4_TX_Cohort_Recon" sheetId="4" r:id="rId4"/>
    <sheet name="5_Gaines_Summary" sheetId="5" r:id="rId5"/>
    <sheet name="6_Spartanburg_by_Type" sheetId="6" r:id="rId6"/>
    <sheet name="7_Spartanburg_Allocated" sheetId="7" r:id="rId7"/>
    <sheet name="8_Final_Comparison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" i="6" l="1"/>
  <c r="D10" i="6"/>
  <c r="C10" i="6"/>
  <c r="F9" i="6"/>
  <c r="D9" i="6"/>
  <c r="C9" i="6"/>
  <c r="F8" i="6"/>
  <c r="D8" i="6"/>
  <c r="C8" i="6"/>
  <c r="D5" i="5"/>
  <c r="E5" i="5" s="1"/>
  <c r="B5" i="5"/>
  <c r="I17" i="4"/>
  <c r="H17" i="4"/>
  <c r="G17" i="4"/>
  <c r="F17" i="4"/>
  <c r="D17" i="4"/>
  <c r="E17" i="4" s="1"/>
  <c r="N16" i="4"/>
  <c r="N17" i="4" s="1"/>
  <c r="M16" i="4"/>
  <c r="M17" i="4" s="1"/>
  <c r="L16" i="4"/>
  <c r="L17" i="4" s="1"/>
  <c r="J16" i="4"/>
  <c r="J17" i="4" s="1"/>
  <c r="I16" i="4"/>
  <c r="H16" i="4" s="1"/>
  <c r="G16" i="4"/>
  <c r="F16" i="4"/>
  <c r="D16" i="4"/>
  <c r="E16" i="4" s="1"/>
  <c r="N15" i="4"/>
  <c r="M15" i="4"/>
  <c r="L15" i="4"/>
  <c r="J15" i="4"/>
  <c r="K15" i="4" s="1"/>
  <c r="I15" i="4"/>
  <c r="G15" i="4"/>
  <c r="H15" i="4" s="1"/>
  <c r="F15" i="4"/>
  <c r="D15" i="4"/>
  <c r="E15" i="4" s="1"/>
  <c r="D15" i="3"/>
  <c r="C15" i="3"/>
  <c r="B15" i="3"/>
  <c r="E14" i="3"/>
  <c r="E13" i="3"/>
  <c r="E12" i="3"/>
  <c r="E11" i="3"/>
  <c r="E10" i="3"/>
  <c r="E9" i="3"/>
  <c r="E8" i="3"/>
  <c r="E15" i="3" s="1"/>
  <c r="E7" i="3"/>
  <c r="E6" i="3"/>
  <c r="E5" i="3"/>
  <c r="E4" i="3"/>
  <c r="E3" i="3"/>
  <c r="E2" i="3"/>
  <c r="K17" i="4" l="1"/>
  <c r="K16" i="4"/>
  <c r="C5" i="5"/>
</calcChain>
</file>

<file path=xl/sharedStrings.xml><?xml version="1.0" encoding="utf-8"?>
<sst xmlns="http://schemas.openxmlformats.org/spreadsheetml/2006/main" count="189" uniqueCount="110">
  <si>
    <t>School Year</t>
  </si>
  <si>
    <t>Loop ISD</t>
  </si>
  <si>
    <t>Seagraves ISD</t>
  </si>
  <si>
    <t>Seminole ISD</t>
  </si>
  <si>
    <t>County Weighted Avg</t>
  </si>
  <si>
    <t>2019-20</t>
  </si>
  <si>
    <t>2020-21</t>
  </si>
  <si>
    <t>2021-22</t>
  </si>
  <si>
    <t>2022-23</t>
  </si>
  <si>
    <t>2023-24</t>
  </si>
  <si>
    <t>2024-25</t>
  </si>
  <si>
    <t>Grade</t>
  </si>
  <si>
    <t>Total</t>
  </si>
  <si>
    <t>Notes</t>
  </si>
  <si>
    <t>Kindergarten</t>
  </si>
  <si>
    <t>Grade 1</t>
  </si>
  <si>
    <t>Grade 2</t>
  </si>
  <si>
    <t>Grade 3</t>
  </si>
  <si>
    <t>Grade 4</t>
  </si>
  <si>
    <t>TEA masked: Loop &lt;10</t>
  </si>
  <si>
    <t>Grade 5</t>
  </si>
  <si>
    <t>Grade 6</t>
  </si>
  <si>
    <t>Grade 7</t>
  </si>
  <si>
    <t>Grade 8</t>
  </si>
  <si>
    <t>Grade 9</t>
  </si>
  <si>
    <t>TEA masked: Seminole &lt;250+&lt;10</t>
  </si>
  <si>
    <t>Grade 10</t>
  </si>
  <si>
    <t>TEA masked: Loop &lt;10; Seminole &lt;230+&lt;10</t>
  </si>
  <si>
    <t>Grade 11</t>
  </si>
  <si>
    <t>Grade 12</t>
  </si>
  <si>
    <t>TEA masked: Seminole &lt;180+&lt;10</t>
  </si>
  <si>
    <t>TOTAL K-12</t>
  </si>
  <si>
    <t>Source: TEA PEIMS Student Enrollment Data, 2024-2025</t>
  </si>
  <si>
    <t>Yellow cells: TEA-masked values (&lt;N); midpoint estimates used</t>
  </si>
  <si>
    <t>Current Grade</t>
  </si>
  <si>
    <t>Coverage Source</t>
  </si>
  <si>
    <t>Cohort Year</t>
  </si>
  <si>
    <t>Loop Enroll</t>
  </si>
  <si>
    <t>Loop Coverage (%)</t>
  </si>
  <si>
    <t>Loop Unvac</t>
  </si>
  <si>
    <t>Seagraves Enroll</t>
  </si>
  <si>
    <t>Seagraves Coverage (%)</t>
  </si>
  <si>
    <t>Seagraves Unvac</t>
  </si>
  <si>
    <t>Seminole Enroll</t>
  </si>
  <si>
    <t>Seminole Coverage (%)</t>
  </si>
  <si>
    <t>Seminole Unvac</t>
  </si>
  <si>
    <t>Total Enroll</t>
  </si>
  <si>
    <t>Total Unvac</t>
  </si>
  <si>
    <t>K coverage</t>
  </si>
  <si>
    <t>7th grade coverage</t>
  </si>
  <si>
    <t>K-5 Subtotal</t>
  </si>
  <si>
    <t>6-12 Subtotal</t>
  </si>
  <si>
    <t>Level</t>
  </si>
  <si>
    <t>Enrollment</t>
  </si>
  <si>
    <t>Coverage (%)</t>
  </si>
  <si>
    <t>Unvaccinated</t>
  </si>
  <si>
    <t>Susceptibility Rate (%)</t>
  </si>
  <si>
    <t>Elementary (K-5)</t>
  </si>
  <si>
    <t>Middle (6-8)</t>
  </si>
  <si>
    <t>High (9-12)</t>
  </si>
  <si>
    <t>School Type</t>
  </si>
  <si>
    <t>Category</t>
  </si>
  <si>
    <t>Schools</t>
  </si>
  <si>
    <t>Students</t>
  </si>
  <si>
    <t>Elementary (K-5/6)</t>
  </si>
  <si>
    <t>Pure</t>
  </si>
  <si>
    <t>K-8 / K-6</t>
  </si>
  <si>
    <t>Multi</t>
  </si>
  <si>
    <t>K-12</t>
  </si>
  <si>
    <t>Middle-High (7-12)</t>
  </si>
  <si>
    <t>TOTAL</t>
  </si>
  <si>
    <t>Pure-type subtotal</t>
  </si>
  <si>
    <t>Multi-grade subtotal</t>
  </si>
  <si>
    <t>Source: SC DHEC 45-Day Immunization Report, 2025-26</t>
  </si>
  <si>
    <t>Yellow rows = multi-grade schools requiring proportional allocation</t>
  </si>
  <si>
    <t>Freshman Academies (Byrnes 1-9, Dorman 1-9) classified as High (grade 9)</t>
  </si>
  <si>
    <t>Allocation method: proportional split by grade span for multi-grade schools</t>
  </si>
  <si>
    <t>See SC_Spartanburg_Detailed_Calculations.xlsx for school-level detail</t>
  </si>
  <si>
    <t>Metric</t>
  </si>
  <si>
    <t>Gaines County, TX</t>
  </si>
  <si>
    <t>Spartanburg County, SC</t>
  </si>
  <si>
    <t>Ratio</t>
  </si>
  <si>
    <t>K-12 Enrollment</t>
  </si>
  <si>
    <t>16×</t>
  </si>
  <si>
    <t>K-12 Coverage (%)</t>
  </si>
  <si>
    <t>+3.7pp</t>
  </si>
  <si>
    <t>K-12 Unvaccinated</t>
  </si>
  <si>
    <t>12×</t>
  </si>
  <si>
    <t>Elementary Enrollment</t>
  </si>
  <si>
    <t>Elementary Coverage (%)</t>
  </si>
  <si>
    <t>+5.8pp</t>
  </si>
  <si>
    <t>Elementary Unvaccinated</t>
  </si>
  <si>
    <t>11×</t>
  </si>
  <si>
    <t>Middle Enrollment</t>
  </si>
  <si>
    <t>Middle Coverage (%)</t>
  </si>
  <si>
    <t>+0.5pp</t>
  </si>
  <si>
    <t>Middle Unvaccinated</t>
  </si>
  <si>
    <t>15×</t>
  </si>
  <si>
    <t>High Enrollment</t>
  </si>
  <si>
    <t>High Coverage (%)</t>
  </si>
  <si>
    <t>+2.9pp</t>
  </si>
  <si>
    <t>High Unvaccinated</t>
  </si>
  <si>
    <t>Outbreak Cases</t>
  </si>
  <si>
    <t>847+</t>
  </si>
  <si>
    <t>2.0×</t>
  </si>
  <si>
    <t>Attack Rate (%)</t>
  </si>
  <si>
    <t>—</t>
  </si>
  <si>
    <t>Status</t>
  </si>
  <si>
    <t>Contained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</si>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</sst>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10"/>
      <color rgb="FF808080"/>
      <name val="Arial"/>
      <charset val="1"/>
    </font>
    <font>
      <b/>
      <sz val="10"/>
      <color rgb="FF1F4E79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i/>
      <sz val="9"/>
      <color rgb="FF80808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2CC"/>
        <bgColor rgb="FFFFFFFF"/>
      </patternFill>
    </fill>
    <fill>
      <patternFill patternType="solid">
        <fgColor rgb="FFD6E4F0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  <xf numFmtId="164" fontId="2" fillId="0" borderId="0" xfId="0" applyNumberFormat="1" applyFont="1"/>
    <xf numFmtId="0" fontId="2" fillId="3" borderId="0" xfId="0" applyFont="1" applyFill="1"/>
    <xf numFmtId="0" fontId="3" fillId="0" borderId="0" xfId="0" applyFont="1"/>
    <xf numFmtId="0" fontId="4" fillId="4" borderId="0" xfId="0" applyFont="1" applyFill="1"/>
    <xf numFmtId="0" fontId="5" fillId="0" borderId="0" xfId="0" applyFont="1"/>
    <xf numFmtId="164" fontId="5" fillId="0" borderId="0" xfId="0" applyNumberFormat="1" applyFont="1"/>
    <xf numFmtId="164" fontId="4" fillId="4" borderId="0" xfId="0" applyNumberFormat="1" applyFont="1" applyFill="1"/>
    <xf numFmtId="0" fontId="6" fillId="2" borderId="0" xfId="0" applyFont="1" applyFill="1" applyAlignment="1">
      <alignment horizontal="center" wrapText="1"/>
    </xf>
    <xf numFmtId="0" fontId="5" fillId="4" borderId="0" xfId="0" applyFont="1" applyFill="1"/>
    <xf numFmtId="0" fontId="0" fillId="4" borderId="0" xfId="0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zoomScaleNormal="100" workbookViewId="0"/>
  </sheetViews>
  <sheetFormatPr defaultColWidth="8.7109375" defaultRowHeight="15" x14ac:dyDescent="0.25"/>
  <cols>
    <col min="1" max="1" width="14" customWidth="1"/>
    <col min="2" max="2" width="11" customWidth="1"/>
    <col min="3" max="3" width="16" customWidth="1"/>
    <col min="4" max="4" width="15" customWidth="1"/>
    <col min="5" max="5" width="22" customWidth="1"/>
  </cols>
  <sheetData>
    <row r="1" spans="1:5" ht="26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25">
      <c r="A2" s="2" t="s">
        <v>5</v>
      </c>
      <c r="B2" s="3">
        <v>81.8</v>
      </c>
      <c r="C2" s="3">
        <v>100</v>
      </c>
      <c r="D2" s="3">
        <v>78.099999999999994</v>
      </c>
      <c r="E2" s="3">
        <v>80.400000000000006</v>
      </c>
    </row>
    <row r="3" spans="1:5" ht="15" customHeight="1" x14ac:dyDescent="0.25">
      <c r="A3" s="2" t="s">
        <v>6</v>
      </c>
      <c r="B3" s="3">
        <v>63.6</v>
      </c>
      <c r="C3" s="3">
        <v>87.5</v>
      </c>
      <c r="D3" s="3">
        <v>80.7</v>
      </c>
      <c r="E3" s="3">
        <v>81.099999999999994</v>
      </c>
    </row>
    <row r="4" spans="1:5" ht="15" customHeight="1" x14ac:dyDescent="0.25">
      <c r="A4" s="2" t="s">
        <v>7</v>
      </c>
      <c r="B4" s="3">
        <v>46.2</v>
      </c>
      <c r="C4" s="3">
        <v>92.7</v>
      </c>
      <c r="D4" s="3">
        <v>83.1</v>
      </c>
      <c r="E4" s="3">
        <v>82.9</v>
      </c>
    </row>
    <row r="5" spans="1:5" ht="15" customHeight="1" x14ac:dyDescent="0.25">
      <c r="A5" s="2" t="s">
        <v>8</v>
      </c>
      <c r="B5" s="3">
        <v>40</v>
      </c>
      <c r="C5" s="3">
        <v>97.5</v>
      </c>
      <c r="D5" s="3">
        <v>82</v>
      </c>
      <c r="E5" s="3">
        <v>82.7</v>
      </c>
    </row>
    <row r="6" spans="1:5" ht="15" customHeight="1" x14ac:dyDescent="0.25">
      <c r="A6" s="2" t="s">
        <v>9</v>
      </c>
      <c r="B6" s="3">
        <v>46.2</v>
      </c>
      <c r="C6" s="3">
        <v>94.3</v>
      </c>
      <c r="D6" s="3">
        <v>82.1</v>
      </c>
      <c r="E6" s="3">
        <v>82.3</v>
      </c>
    </row>
    <row r="7" spans="1:5" ht="15" customHeight="1" x14ac:dyDescent="0.25">
      <c r="A7" s="2" t="s">
        <v>10</v>
      </c>
      <c r="B7" s="3">
        <v>20</v>
      </c>
      <c r="C7" s="3">
        <v>96.8</v>
      </c>
      <c r="D7" s="3">
        <v>77.099999999999994</v>
      </c>
      <c r="E7" s="3">
        <v>77.3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zoomScaleNormal="100" workbookViewId="0"/>
  </sheetViews>
  <sheetFormatPr defaultColWidth="8.7109375" defaultRowHeight="15" x14ac:dyDescent="0.25"/>
  <cols>
    <col min="1" max="1" width="14" customWidth="1"/>
    <col min="2" max="2" width="11" customWidth="1"/>
    <col min="3" max="3" width="16" customWidth="1"/>
    <col min="4" max="4" width="15" customWidth="1"/>
    <col min="5" max="5" width="22" customWidth="1"/>
  </cols>
  <sheetData>
    <row r="1" spans="1:5" ht="26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25">
      <c r="A2" s="2" t="s">
        <v>5</v>
      </c>
      <c r="B2" s="3">
        <v>90.5</v>
      </c>
      <c r="C2" s="3">
        <v>100</v>
      </c>
      <c r="D2" s="3">
        <v>88.3</v>
      </c>
      <c r="E2" s="3">
        <v>95.5</v>
      </c>
    </row>
    <row r="3" spans="1:5" ht="15" customHeight="1" x14ac:dyDescent="0.25">
      <c r="A3" s="2" t="s">
        <v>6</v>
      </c>
      <c r="B3" s="3">
        <v>81.3</v>
      </c>
      <c r="C3" s="3">
        <v>100</v>
      </c>
      <c r="D3" s="3">
        <v>85.2</v>
      </c>
      <c r="E3" s="3">
        <v>87.1</v>
      </c>
    </row>
    <row r="4" spans="1:5" ht="15" customHeight="1" x14ac:dyDescent="0.25">
      <c r="A4" s="2" t="s">
        <v>7</v>
      </c>
      <c r="B4" s="3">
        <v>63.6</v>
      </c>
      <c r="C4" s="3">
        <v>96</v>
      </c>
      <c r="D4" s="3">
        <v>92.1</v>
      </c>
      <c r="E4" s="3">
        <v>94.9</v>
      </c>
    </row>
    <row r="5" spans="1:5" ht="15" customHeight="1" x14ac:dyDescent="0.25">
      <c r="A5" s="2" t="s">
        <v>8</v>
      </c>
      <c r="B5" s="3">
        <v>71.400000000000006</v>
      </c>
      <c r="C5" s="3">
        <v>95.7</v>
      </c>
      <c r="D5" s="3">
        <v>91.2</v>
      </c>
      <c r="E5" s="3">
        <v>91.1</v>
      </c>
    </row>
    <row r="6" spans="1:5" ht="15" customHeight="1" x14ac:dyDescent="0.25">
      <c r="A6" s="2" t="s">
        <v>9</v>
      </c>
      <c r="B6" s="3">
        <v>55.6</v>
      </c>
      <c r="C6" s="3">
        <v>100</v>
      </c>
      <c r="D6" s="3">
        <v>89.7</v>
      </c>
      <c r="E6" s="3">
        <v>90.9</v>
      </c>
    </row>
    <row r="7" spans="1:5" ht="15" customHeight="1" x14ac:dyDescent="0.25">
      <c r="A7" s="2" t="s">
        <v>10</v>
      </c>
      <c r="B7" s="3">
        <v>52.9</v>
      </c>
      <c r="C7" s="3">
        <v>92.1</v>
      </c>
      <c r="D7" s="3">
        <v>86</v>
      </c>
      <c r="E7" s="3">
        <v>84.4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zoomScaleNormal="100" workbookViewId="0"/>
  </sheetViews>
  <sheetFormatPr defaultColWidth="8.7109375" defaultRowHeight="15" x14ac:dyDescent="0.25"/>
  <cols>
    <col min="1" max="2" width="15" customWidth="1"/>
    <col min="3" max="3" width="16" customWidth="1"/>
    <col min="4" max="4" width="15" customWidth="1"/>
    <col min="5" max="5" width="16" customWidth="1"/>
    <col min="6" max="6" width="22" customWidth="1"/>
  </cols>
  <sheetData>
    <row r="1" spans="1:6" ht="15" customHeight="1" x14ac:dyDescent="0.25">
      <c r="A1" s="1" t="s">
        <v>11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</row>
    <row r="2" spans="1:6" ht="15" customHeight="1" x14ac:dyDescent="0.25">
      <c r="A2" s="2" t="s">
        <v>14</v>
      </c>
      <c r="B2" s="2">
        <v>10</v>
      </c>
      <c r="C2" s="2">
        <v>31</v>
      </c>
      <c r="D2" s="2">
        <v>236</v>
      </c>
      <c r="E2" s="2">
        <f t="shared" ref="E2:E14" si="0">SUM(B2:D2)</f>
        <v>277</v>
      </c>
    </row>
    <row r="3" spans="1:6" ht="15" customHeight="1" x14ac:dyDescent="0.25">
      <c r="A3" s="2" t="s">
        <v>15</v>
      </c>
      <c r="B3" s="2">
        <v>11</v>
      </c>
      <c r="C3" s="2">
        <v>35</v>
      </c>
      <c r="D3" s="2">
        <v>209</v>
      </c>
      <c r="E3" s="2">
        <f t="shared" si="0"/>
        <v>255</v>
      </c>
    </row>
    <row r="4" spans="1:6" ht="15" customHeight="1" x14ac:dyDescent="0.25">
      <c r="A4" s="2" t="s">
        <v>16</v>
      </c>
      <c r="B4" s="2">
        <v>10</v>
      </c>
      <c r="C4" s="2">
        <v>38</v>
      </c>
      <c r="D4" s="2">
        <v>220</v>
      </c>
      <c r="E4" s="2">
        <f t="shared" si="0"/>
        <v>268</v>
      </c>
    </row>
    <row r="5" spans="1:6" ht="15" customHeight="1" x14ac:dyDescent="0.25">
      <c r="A5" s="2" t="s">
        <v>17</v>
      </c>
      <c r="B5" s="2">
        <v>12</v>
      </c>
      <c r="C5" s="2">
        <v>40</v>
      </c>
      <c r="D5" s="2">
        <v>258</v>
      </c>
      <c r="E5" s="2">
        <f t="shared" si="0"/>
        <v>310</v>
      </c>
    </row>
    <row r="6" spans="1:6" ht="15" customHeight="1" x14ac:dyDescent="0.25">
      <c r="A6" s="2" t="s">
        <v>18</v>
      </c>
      <c r="B6" s="4">
        <v>8</v>
      </c>
      <c r="C6" s="2">
        <v>29</v>
      </c>
      <c r="D6" s="2">
        <v>249</v>
      </c>
      <c r="E6" s="2">
        <f t="shared" si="0"/>
        <v>286</v>
      </c>
      <c r="F6" s="5" t="s">
        <v>19</v>
      </c>
    </row>
    <row r="7" spans="1:6" ht="15" customHeight="1" x14ac:dyDescent="0.25">
      <c r="A7" s="2" t="s">
        <v>20</v>
      </c>
      <c r="B7" s="2">
        <v>12</v>
      </c>
      <c r="C7" s="2">
        <v>27</v>
      </c>
      <c r="D7" s="2">
        <v>236</v>
      </c>
      <c r="E7" s="2">
        <f t="shared" si="0"/>
        <v>275</v>
      </c>
    </row>
    <row r="8" spans="1:6" ht="15" customHeight="1" x14ac:dyDescent="0.25">
      <c r="A8" s="2" t="s">
        <v>21</v>
      </c>
      <c r="B8" s="2">
        <v>13</v>
      </c>
      <c r="C8" s="2">
        <v>31</v>
      </c>
      <c r="D8" s="2">
        <v>235</v>
      </c>
      <c r="E8" s="2">
        <f t="shared" si="0"/>
        <v>279</v>
      </c>
    </row>
    <row r="9" spans="1:6" ht="15" customHeight="1" x14ac:dyDescent="0.25">
      <c r="A9" s="2" t="s">
        <v>22</v>
      </c>
      <c r="B9" s="2">
        <v>17</v>
      </c>
      <c r="C9" s="2">
        <v>38</v>
      </c>
      <c r="D9" s="2">
        <v>221</v>
      </c>
      <c r="E9" s="2">
        <f t="shared" si="0"/>
        <v>276</v>
      </c>
    </row>
    <row r="10" spans="1:6" ht="15" customHeight="1" x14ac:dyDescent="0.25">
      <c r="A10" s="2" t="s">
        <v>23</v>
      </c>
      <c r="B10" s="4">
        <v>8</v>
      </c>
      <c r="C10" s="2">
        <v>48</v>
      </c>
      <c r="D10" s="2">
        <v>220</v>
      </c>
      <c r="E10" s="2">
        <f t="shared" si="0"/>
        <v>276</v>
      </c>
      <c r="F10" s="5" t="s">
        <v>19</v>
      </c>
    </row>
    <row r="11" spans="1:6" ht="15" customHeight="1" x14ac:dyDescent="0.25">
      <c r="A11" s="2" t="s">
        <v>24</v>
      </c>
      <c r="B11" s="2">
        <v>11</v>
      </c>
      <c r="C11" s="2">
        <v>49</v>
      </c>
      <c r="D11" s="4">
        <v>245</v>
      </c>
      <c r="E11" s="2">
        <f t="shared" si="0"/>
        <v>305</v>
      </c>
      <c r="F11" s="5" t="s">
        <v>25</v>
      </c>
    </row>
    <row r="12" spans="1:6" ht="15" customHeight="1" x14ac:dyDescent="0.25">
      <c r="A12" s="2" t="s">
        <v>26</v>
      </c>
      <c r="B12" s="4">
        <v>8</v>
      </c>
      <c r="C12" s="2">
        <v>47</v>
      </c>
      <c r="D12" s="4">
        <v>225</v>
      </c>
      <c r="E12" s="2">
        <f t="shared" si="0"/>
        <v>280</v>
      </c>
      <c r="F12" s="5" t="s">
        <v>27</v>
      </c>
    </row>
    <row r="13" spans="1:6" ht="15" customHeight="1" x14ac:dyDescent="0.25">
      <c r="A13" s="2" t="s">
        <v>28</v>
      </c>
      <c r="B13" s="2">
        <v>17</v>
      </c>
      <c r="C13" s="2">
        <v>37</v>
      </c>
      <c r="D13" s="2">
        <v>203</v>
      </c>
      <c r="E13" s="2">
        <f t="shared" si="0"/>
        <v>257</v>
      </c>
    </row>
    <row r="14" spans="1:6" ht="15" customHeight="1" x14ac:dyDescent="0.25">
      <c r="A14" s="2" t="s">
        <v>29</v>
      </c>
      <c r="B14" s="2">
        <v>12</v>
      </c>
      <c r="C14" s="2">
        <v>29</v>
      </c>
      <c r="D14" s="4">
        <v>175</v>
      </c>
      <c r="E14" s="2">
        <f t="shared" si="0"/>
        <v>216</v>
      </c>
      <c r="F14" s="5" t="s">
        <v>30</v>
      </c>
    </row>
    <row r="15" spans="1:6" ht="15" customHeight="1" x14ac:dyDescent="0.25">
      <c r="A15" s="6" t="s">
        <v>31</v>
      </c>
      <c r="B15" s="6">
        <f>SUM(B2:B14)</f>
        <v>149</v>
      </c>
      <c r="C15" s="6">
        <f>SUM(C2:C14)</f>
        <v>479</v>
      </c>
      <c r="D15" s="6">
        <f>SUM(D2:D14)</f>
        <v>2932</v>
      </c>
      <c r="E15" s="6">
        <f>SUM(E2:E14)</f>
        <v>3560</v>
      </c>
      <c r="F15" s="6"/>
    </row>
    <row r="17" spans="1:1" ht="15" customHeight="1" x14ac:dyDescent="0.25">
      <c r="A17" s="5" t="s">
        <v>32</v>
      </c>
    </row>
    <row r="18" spans="1:1" ht="15" customHeight="1" x14ac:dyDescent="0.25">
      <c r="A18" s="5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7"/>
  <sheetViews>
    <sheetView zoomScaleNormal="100" workbookViewId="0"/>
  </sheetViews>
  <sheetFormatPr defaultColWidth="8.7109375" defaultRowHeight="15" x14ac:dyDescent="0.25"/>
  <cols>
    <col min="1" max="1" width="16" customWidth="1"/>
    <col min="2" max="2" width="21" customWidth="1"/>
    <col min="3" max="3" width="14" customWidth="1"/>
    <col min="4" max="4" width="15" customWidth="1"/>
    <col min="5" max="5" width="20" customWidth="1"/>
    <col min="6" max="6" width="15" customWidth="1"/>
    <col min="7" max="7" width="19" customWidth="1"/>
    <col min="8" max="8" width="22" customWidth="1"/>
    <col min="9" max="10" width="18" customWidth="1"/>
    <col min="11" max="11" width="22" customWidth="1"/>
    <col min="12" max="12" width="17" customWidth="1"/>
    <col min="13" max="14" width="15" customWidth="1"/>
  </cols>
  <sheetData>
    <row r="1" spans="1:14" ht="26.25" customHeight="1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</row>
    <row r="2" spans="1:14" ht="15" customHeight="1" x14ac:dyDescent="0.25">
      <c r="A2" s="2" t="s">
        <v>14</v>
      </c>
      <c r="B2" s="2" t="s">
        <v>48</v>
      </c>
      <c r="C2" s="2" t="s">
        <v>10</v>
      </c>
      <c r="D2" s="2">
        <v>10</v>
      </c>
      <c r="E2" s="3">
        <v>20</v>
      </c>
      <c r="F2" s="2">
        <v>8</v>
      </c>
      <c r="G2" s="2">
        <v>31</v>
      </c>
      <c r="H2" s="3">
        <v>96.8</v>
      </c>
      <c r="I2" s="2">
        <v>1</v>
      </c>
      <c r="J2" s="2">
        <v>236</v>
      </c>
      <c r="K2" s="3">
        <v>77.099999999999994</v>
      </c>
      <c r="L2" s="2">
        <v>54</v>
      </c>
      <c r="M2" s="2">
        <v>277</v>
      </c>
      <c r="N2" s="2">
        <v>63</v>
      </c>
    </row>
    <row r="3" spans="1:14" ht="15" customHeight="1" x14ac:dyDescent="0.25">
      <c r="A3" s="2" t="s">
        <v>15</v>
      </c>
      <c r="B3" s="2" t="s">
        <v>48</v>
      </c>
      <c r="C3" s="2" t="s">
        <v>9</v>
      </c>
      <c r="D3" s="2">
        <v>11</v>
      </c>
      <c r="E3" s="3">
        <v>46.2</v>
      </c>
      <c r="F3" s="2">
        <v>6</v>
      </c>
      <c r="G3" s="2">
        <v>35</v>
      </c>
      <c r="H3" s="3">
        <v>94.3</v>
      </c>
      <c r="I3" s="2">
        <v>2</v>
      </c>
      <c r="J3" s="2">
        <v>209</v>
      </c>
      <c r="K3" s="3">
        <v>82.1</v>
      </c>
      <c r="L3" s="2">
        <v>37</v>
      </c>
      <c r="M3" s="2">
        <v>255</v>
      </c>
      <c r="N3" s="2">
        <v>45</v>
      </c>
    </row>
    <row r="4" spans="1:14" ht="15" customHeight="1" x14ac:dyDescent="0.25">
      <c r="A4" s="2" t="s">
        <v>16</v>
      </c>
      <c r="B4" s="2" t="s">
        <v>48</v>
      </c>
      <c r="C4" s="2" t="s">
        <v>8</v>
      </c>
      <c r="D4" s="2">
        <v>10</v>
      </c>
      <c r="E4" s="3">
        <v>40</v>
      </c>
      <c r="F4" s="2">
        <v>6</v>
      </c>
      <c r="G4" s="2">
        <v>38</v>
      </c>
      <c r="H4" s="3">
        <v>97.5</v>
      </c>
      <c r="I4" s="2">
        <v>1</v>
      </c>
      <c r="J4" s="2">
        <v>220</v>
      </c>
      <c r="K4" s="3">
        <v>82</v>
      </c>
      <c r="L4" s="2">
        <v>40</v>
      </c>
      <c r="M4" s="2">
        <v>268</v>
      </c>
      <c r="N4" s="2">
        <v>47</v>
      </c>
    </row>
    <row r="5" spans="1:14" ht="15" customHeight="1" x14ac:dyDescent="0.25">
      <c r="A5" s="2" t="s">
        <v>17</v>
      </c>
      <c r="B5" s="2" t="s">
        <v>48</v>
      </c>
      <c r="C5" s="2" t="s">
        <v>7</v>
      </c>
      <c r="D5" s="2">
        <v>12</v>
      </c>
      <c r="E5" s="3">
        <v>46.2</v>
      </c>
      <c r="F5" s="2">
        <v>6</v>
      </c>
      <c r="G5" s="2">
        <v>40</v>
      </c>
      <c r="H5" s="3">
        <v>92.7</v>
      </c>
      <c r="I5" s="2">
        <v>3</v>
      </c>
      <c r="J5" s="2">
        <v>258</v>
      </c>
      <c r="K5" s="3">
        <v>83.1</v>
      </c>
      <c r="L5" s="2">
        <v>44</v>
      </c>
      <c r="M5" s="2">
        <v>310</v>
      </c>
      <c r="N5" s="2">
        <v>53</v>
      </c>
    </row>
    <row r="6" spans="1:14" ht="15" customHeight="1" x14ac:dyDescent="0.25">
      <c r="A6" s="2" t="s">
        <v>18</v>
      </c>
      <c r="B6" s="2" t="s">
        <v>48</v>
      </c>
      <c r="C6" s="2" t="s">
        <v>6</v>
      </c>
      <c r="D6" s="4">
        <v>8</v>
      </c>
      <c r="E6" s="3">
        <v>63.6</v>
      </c>
      <c r="F6" s="2">
        <v>3</v>
      </c>
      <c r="G6" s="2">
        <v>29</v>
      </c>
      <c r="H6" s="3">
        <v>87.5</v>
      </c>
      <c r="I6" s="2">
        <v>4</v>
      </c>
      <c r="J6" s="2">
        <v>249</v>
      </c>
      <c r="K6" s="3">
        <v>80.7</v>
      </c>
      <c r="L6" s="2">
        <v>48</v>
      </c>
      <c r="M6" s="2">
        <v>286</v>
      </c>
      <c r="N6" s="2">
        <v>55</v>
      </c>
    </row>
    <row r="7" spans="1:14" ht="15" customHeight="1" x14ac:dyDescent="0.25">
      <c r="A7" s="2" t="s">
        <v>20</v>
      </c>
      <c r="B7" s="2" t="s">
        <v>48</v>
      </c>
      <c r="C7" s="2" t="s">
        <v>5</v>
      </c>
      <c r="D7" s="2">
        <v>12</v>
      </c>
      <c r="E7" s="3">
        <v>81.8</v>
      </c>
      <c r="F7" s="2">
        <v>2</v>
      </c>
      <c r="G7" s="2">
        <v>27</v>
      </c>
      <c r="H7" s="3">
        <v>100</v>
      </c>
      <c r="I7" s="2">
        <v>0</v>
      </c>
      <c r="J7" s="2">
        <v>236</v>
      </c>
      <c r="K7" s="3">
        <v>78.099999999999994</v>
      </c>
      <c r="L7" s="2">
        <v>52</v>
      </c>
      <c r="M7" s="2">
        <v>275</v>
      </c>
      <c r="N7" s="2">
        <v>54</v>
      </c>
    </row>
    <row r="8" spans="1:14" ht="15" customHeight="1" x14ac:dyDescent="0.25">
      <c r="A8" s="2" t="s">
        <v>21</v>
      </c>
      <c r="B8" s="2" t="s">
        <v>49</v>
      </c>
      <c r="C8" s="2" t="s">
        <v>10</v>
      </c>
      <c r="D8" s="2">
        <v>13</v>
      </c>
      <c r="E8" s="3">
        <v>52.9</v>
      </c>
      <c r="F8" s="2">
        <v>6</v>
      </c>
      <c r="G8" s="2">
        <v>31</v>
      </c>
      <c r="H8" s="3">
        <v>92.1</v>
      </c>
      <c r="I8" s="2">
        <v>2</v>
      </c>
      <c r="J8" s="2">
        <v>235</v>
      </c>
      <c r="K8" s="3">
        <v>86</v>
      </c>
      <c r="L8" s="2">
        <v>33</v>
      </c>
      <c r="M8" s="2">
        <v>279</v>
      </c>
      <c r="N8" s="2">
        <v>41</v>
      </c>
    </row>
    <row r="9" spans="1:14" ht="15" customHeight="1" x14ac:dyDescent="0.25">
      <c r="A9" s="2" t="s">
        <v>22</v>
      </c>
      <c r="B9" s="2" t="s">
        <v>49</v>
      </c>
      <c r="C9" s="2" t="s">
        <v>10</v>
      </c>
      <c r="D9" s="2">
        <v>17</v>
      </c>
      <c r="E9" s="3">
        <v>52.9</v>
      </c>
      <c r="F9" s="2">
        <v>8</v>
      </c>
      <c r="G9" s="2">
        <v>38</v>
      </c>
      <c r="H9" s="3">
        <v>92.1</v>
      </c>
      <c r="I9" s="2">
        <v>3</v>
      </c>
      <c r="J9" s="2">
        <v>221</v>
      </c>
      <c r="K9" s="3">
        <v>86</v>
      </c>
      <c r="L9" s="2">
        <v>31</v>
      </c>
      <c r="M9" s="2">
        <v>276</v>
      </c>
      <c r="N9" s="2">
        <v>42</v>
      </c>
    </row>
    <row r="10" spans="1:14" ht="15" customHeight="1" x14ac:dyDescent="0.25">
      <c r="A10" s="2" t="s">
        <v>23</v>
      </c>
      <c r="B10" s="2" t="s">
        <v>49</v>
      </c>
      <c r="C10" s="2" t="s">
        <v>9</v>
      </c>
      <c r="D10" s="4">
        <v>8</v>
      </c>
      <c r="E10" s="3">
        <v>55.6</v>
      </c>
      <c r="F10" s="2">
        <v>4</v>
      </c>
      <c r="G10" s="2">
        <v>48</v>
      </c>
      <c r="H10" s="3">
        <v>100</v>
      </c>
      <c r="I10" s="2">
        <v>0</v>
      </c>
      <c r="J10" s="2">
        <v>220</v>
      </c>
      <c r="K10" s="3">
        <v>89.7</v>
      </c>
      <c r="L10" s="2">
        <v>23</v>
      </c>
      <c r="M10" s="2">
        <v>276</v>
      </c>
      <c r="N10" s="2">
        <v>27</v>
      </c>
    </row>
    <row r="11" spans="1:14" ht="15" customHeight="1" x14ac:dyDescent="0.25">
      <c r="A11" s="2" t="s">
        <v>24</v>
      </c>
      <c r="B11" s="2" t="s">
        <v>49</v>
      </c>
      <c r="C11" s="2" t="s">
        <v>8</v>
      </c>
      <c r="D11" s="2">
        <v>11</v>
      </c>
      <c r="E11" s="3">
        <v>71.400000000000006</v>
      </c>
      <c r="F11" s="2">
        <v>3</v>
      </c>
      <c r="G11" s="2">
        <v>49</v>
      </c>
      <c r="H11" s="3">
        <v>95.7</v>
      </c>
      <c r="I11" s="2">
        <v>2</v>
      </c>
      <c r="J11" s="4">
        <v>245</v>
      </c>
      <c r="K11" s="3">
        <v>91.2</v>
      </c>
      <c r="L11" s="2">
        <v>22</v>
      </c>
      <c r="M11" s="2">
        <v>305</v>
      </c>
      <c r="N11" s="2">
        <v>27</v>
      </c>
    </row>
    <row r="12" spans="1:14" ht="15" customHeight="1" x14ac:dyDescent="0.25">
      <c r="A12" s="2" t="s">
        <v>26</v>
      </c>
      <c r="B12" s="2" t="s">
        <v>49</v>
      </c>
      <c r="C12" s="2" t="s">
        <v>7</v>
      </c>
      <c r="D12" s="4">
        <v>8</v>
      </c>
      <c r="E12" s="3">
        <v>63.6</v>
      </c>
      <c r="F12" s="2">
        <v>3</v>
      </c>
      <c r="G12" s="2">
        <v>47</v>
      </c>
      <c r="H12" s="3">
        <v>96</v>
      </c>
      <c r="I12" s="2">
        <v>2</v>
      </c>
      <c r="J12" s="4">
        <v>225</v>
      </c>
      <c r="K12" s="3">
        <v>92.1</v>
      </c>
      <c r="L12" s="2">
        <v>18</v>
      </c>
      <c r="M12" s="2">
        <v>280</v>
      </c>
      <c r="N12" s="2">
        <v>23</v>
      </c>
    </row>
    <row r="13" spans="1:14" ht="15" customHeight="1" x14ac:dyDescent="0.25">
      <c r="A13" s="2" t="s">
        <v>28</v>
      </c>
      <c r="B13" s="2" t="s">
        <v>49</v>
      </c>
      <c r="C13" s="2" t="s">
        <v>6</v>
      </c>
      <c r="D13" s="2">
        <v>17</v>
      </c>
      <c r="E13" s="3">
        <v>81.3</v>
      </c>
      <c r="F13" s="2">
        <v>3</v>
      </c>
      <c r="G13" s="2">
        <v>37</v>
      </c>
      <c r="H13" s="3">
        <v>100</v>
      </c>
      <c r="I13" s="2">
        <v>0</v>
      </c>
      <c r="J13" s="2">
        <v>203</v>
      </c>
      <c r="K13" s="3">
        <v>85.2</v>
      </c>
      <c r="L13" s="2">
        <v>30</v>
      </c>
      <c r="M13" s="2">
        <v>257</v>
      </c>
      <c r="N13" s="2">
        <v>33</v>
      </c>
    </row>
    <row r="14" spans="1:14" ht="15" customHeight="1" x14ac:dyDescent="0.25">
      <c r="A14" s="2" t="s">
        <v>29</v>
      </c>
      <c r="B14" s="2" t="s">
        <v>49</v>
      </c>
      <c r="C14" s="2" t="s">
        <v>5</v>
      </c>
      <c r="D14" s="2">
        <v>12</v>
      </c>
      <c r="E14" s="3">
        <v>90.5</v>
      </c>
      <c r="F14" s="2">
        <v>1</v>
      </c>
      <c r="G14" s="2">
        <v>29</v>
      </c>
      <c r="H14" s="3">
        <v>100</v>
      </c>
      <c r="I14" s="2">
        <v>0</v>
      </c>
      <c r="J14" s="4">
        <v>175</v>
      </c>
      <c r="K14" s="3">
        <v>88.3</v>
      </c>
      <c r="L14" s="2">
        <v>20</v>
      </c>
      <c r="M14" s="2">
        <v>216</v>
      </c>
      <c r="N14" s="2">
        <v>21</v>
      </c>
    </row>
    <row r="15" spans="1:14" ht="15" customHeight="1" x14ac:dyDescent="0.25">
      <c r="A15" s="7" t="s">
        <v>50</v>
      </c>
      <c r="B15" s="7" t="s">
        <v>48</v>
      </c>
      <c r="C15" s="7"/>
      <c r="D15" s="7">
        <f>SUM(D2:D7)</f>
        <v>63</v>
      </c>
      <c r="E15" s="8">
        <f>(1-F15/D15)*100</f>
        <v>50.793650793650791</v>
      </c>
      <c r="F15" s="7">
        <f>SUM(F2:F7)</f>
        <v>31</v>
      </c>
      <c r="G15" s="7">
        <f>SUM(G2:G7)</f>
        <v>200</v>
      </c>
      <c r="H15" s="8">
        <f>(1-I15/G15)*100</f>
        <v>94.5</v>
      </c>
      <c r="I15" s="7">
        <f>SUM(I2:I7)</f>
        <v>11</v>
      </c>
      <c r="J15" s="7">
        <f>SUM(J2:J7)</f>
        <v>1408</v>
      </c>
      <c r="K15" s="8">
        <f>(1-L15/J15)*100</f>
        <v>80.46875</v>
      </c>
      <c r="L15" s="7">
        <f>SUM(L2:L7)</f>
        <v>275</v>
      </c>
      <c r="M15" s="7">
        <f>SUM(M2:M7)</f>
        <v>1671</v>
      </c>
      <c r="N15" s="7">
        <f>SUM(N2:N7)</f>
        <v>317</v>
      </c>
    </row>
    <row r="16" spans="1:14" ht="15" customHeight="1" x14ac:dyDescent="0.25">
      <c r="A16" s="7" t="s">
        <v>51</v>
      </c>
      <c r="B16" s="7" t="s">
        <v>49</v>
      </c>
      <c r="C16" s="7"/>
      <c r="D16" s="7">
        <f>SUM(D8:D14)</f>
        <v>86</v>
      </c>
      <c r="E16" s="8">
        <f>(1-F16/D16)*100</f>
        <v>67.441860465116278</v>
      </c>
      <c r="F16" s="7">
        <f>SUM(F8:F14)</f>
        <v>28</v>
      </c>
      <c r="G16" s="7">
        <f>SUM(G8:G14)</f>
        <v>279</v>
      </c>
      <c r="H16" s="8">
        <f>(1-I16/G16)*100</f>
        <v>96.774193548387103</v>
      </c>
      <c r="I16" s="7">
        <f>SUM(I8:I14)</f>
        <v>9</v>
      </c>
      <c r="J16" s="7">
        <f>SUM(J8:J14)</f>
        <v>1524</v>
      </c>
      <c r="K16" s="8">
        <f>(1-L16/J16)*100</f>
        <v>88.385826771653541</v>
      </c>
      <c r="L16" s="7">
        <f>SUM(L8:L14)</f>
        <v>177</v>
      </c>
      <c r="M16" s="7">
        <f>SUM(M8:M14)</f>
        <v>1889</v>
      </c>
      <c r="N16" s="7">
        <f>SUM(N8:N14)</f>
        <v>214</v>
      </c>
    </row>
    <row r="17" spans="1:14" ht="15" customHeight="1" x14ac:dyDescent="0.25">
      <c r="A17" s="6" t="s">
        <v>31</v>
      </c>
      <c r="B17" s="6"/>
      <c r="C17" s="6"/>
      <c r="D17" s="6">
        <f>D15+D16</f>
        <v>149</v>
      </c>
      <c r="E17" s="9">
        <f>(1-F17/D17)*100</f>
        <v>60.402684563758392</v>
      </c>
      <c r="F17" s="6">
        <f>F15+F16</f>
        <v>59</v>
      </c>
      <c r="G17" s="6">
        <f>G15+G16</f>
        <v>479</v>
      </c>
      <c r="H17" s="9">
        <f>(1-I17/G17)*100</f>
        <v>95.824634655532364</v>
      </c>
      <c r="I17" s="6">
        <f>I15+I16</f>
        <v>20</v>
      </c>
      <c r="J17" s="6">
        <f>J15+J16</f>
        <v>2932</v>
      </c>
      <c r="K17" s="9">
        <f>(1-L17/J17)*100</f>
        <v>84.583901773533427</v>
      </c>
      <c r="L17" s="6">
        <f>L15+L16</f>
        <v>452</v>
      </c>
      <c r="M17" s="6">
        <f>M15+M16</f>
        <v>3560</v>
      </c>
      <c r="N17" s="6">
        <f>N15+N16</f>
        <v>531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tabSelected="1" zoomScaleNormal="100" workbookViewId="0"/>
  </sheetViews>
  <sheetFormatPr defaultColWidth="8.7109375" defaultRowHeight="15" x14ac:dyDescent="0.25"/>
  <cols>
    <col min="1" max="1" width="19" customWidth="1"/>
    <col min="2" max="2" width="14" customWidth="1"/>
    <col min="3" max="3" width="17" customWidth="1"/>
    <col min="4" max="4" width="15" customWidth="1"/>
    <col min="5" max="5" width="22" customWidth="1"/>
  </cols>
  <sheetData>
    <row r="1" spans="1:5" ht="26.25" customHeight="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</row>
    <row r="2" spans="1:5" ht="15" customHeight="1" x14ac:dyDescent="0.25">
      <c r="A2" s="2" t="s">
        <v>57</v>
      </c>
      <c r="B2" s="2">
        <v>1671</v>
      </c>
      <c r="C2" s="3">
        <v>81</v>
      </c>
      <c r="D2" s="2">
        <v>317</v>
      </c>
      <c r="E2" s="3">
        <v>19</v>
      </c>
    </row>
    <row r="3" spans="1:5" ht="15" customHeight="1" x14ac:dyDescent="0.25">
      <c r="A3" s="2" t="s">
        <v>58</v>
      </c>
      <c r="B3" s="2">
        <v>831</v>
      </c>
      <c r="C3" s="3">
        <v>86.8</v>
      </c>
      <c r="D3" s="2">
        <v>110</v>
      </c>
      <c r="E3" s="3">
        <v>13.2</v>
      </c>
    </row>
    <row r="4" spans="1:5" ht="15" customHeight="1" x14ac:dyDescent="0.25">
      <c r="A4" s="2" t="s">
        <v>59</v>
      </c>
      <c r="B4" s="2">
        <v>1058</v>
      </c>
      <c r="C4" s="3">
        <v>90.2</v>
      </c>
      <c r="D4" s="2">
        <v>104</v>
      </c>
      <c r="E4" s="3">
        <v>9.8000000000000007</v>
      </c>
    </row>
    <row r="5" spans="1:5" ht="15" customHeight="1" x14ac:dyDescent="0.25">
      <c r="A5" s="6" t="s">
        <v>31</v>
      </c>
      <c r="B5" s="6">
        <f>SUM(B2:B4)</f>
        <v>3560</v>
      </c>
      <c r="C5" s="9">
        <f>(1-D5/B5)*100</f>
        <v>85.084269662921358</v>
      </c>
      <c r="D5" s="6">
        <f>SUM(D2:D4)</f>
        <v>531</v>
      </c>
      <c r="E5" s="9">
        <f>D5/B5*100</f>
        <v>14.915730337078651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"/>
  <sheetViews>
    <sheetView zoomScaleNormal="100" workbookViewId="0"/>
  </sheetViews>
  <sheetFormatPr defaultColWidth="8.7109375" defaultRowHeight="15" x14ac:dyDescent="0.25"/>
  <cols>
    <col min="1" max="1" width="28" customWidth="1"/>
    <col min="2" max="2" width="11" customWidth="1"/>
    <col min="3" max="4" width="14" customWidth="1"/>
    <col min="5" max="6" width="15" customWidth="1"/>
  </cols>
  <sheetData>
    <row r="1" spans="1:6" x14ac:dyDescent="0.25">
      <c r="A1" s="10" t="s">
        <v>60</v>
      </c>
      <c r="B1" s="10" t="s">
        <v>61</v>
      </c>
      <c r="C1" s="10" t="s">
        <v>62</v>
      </c>
      <c r="D1" s="10" t="s">
        <v>63</v>
      </c>
      <c r="E1" s="10" t="s">
        <v>54</v>
      </c>
      <c r="F1" s="10" t="s">
        <v>55</v>
      </c>
    </row>
    <row r="2" spans="1:6" x14ac:dyDescent="0.25">
      <c r="A2" s="2" t="s">
        <v>64</v>
      </c>
      <c r="B2" s="2" t="s">
        <v>65</v>
      </c>
      <c r="C2" s="2">
        <v>44</v>
      </c>
      <c r="D2" s="2">
        <v>22619</v>
      </c>
      <c r="E2" s="2">
        <v>88.8</v>
      </c>
      <c r="F2" s="2">
        <v>2536</v>
      </c>
    </row>
    <row r="3" spans="1:6" x14ac:dyDescent="0.25">
      <c r="A3" s="2" t="s">
        <v>58</v>
      </c>
      <c r="B3" s="2" t="s">
        <v>65</v>
      </c>
      <c r="C3" s="2">
        <v>16</v>
      </c>
      <c r="D3" s="2">
        <v>10464</v>
      </c>
      <c r="E3" s="2">
        <v>89.5</v>
      </c>
      <c r="F3" s="2">
        <v>1101</v>
      </c>
    </row>
    <row r="4" spans="1:6" x14ac:dyDescent="0.25">
      <c r="A4" s="2" t="s">
        <v>59</v>
      </c>
      <c r="B4" s="2" t="s">
        <v>65</v>
      </c>
      <c r="C4" s="2">
        <v>11</v>
      </c>
      <c r="D4" s="2">
        <v>14930</v>
      </c>
      <c r="E4" s="2">
        <v>94.3</v>
      </c>
      <c r="F4" s="2">
        <v>858</v>
      </c>
    </row>
    <row r="5" spans="1:6" x14ac:dyDescent="0.25">
      <c r="A5" s="4" t="s">
        <v>66</v>
      </c>
      <c r="B5" s="4" t="s">
        <v>67</v>
      </c>
      <c r="C5" s="4">
        <v>13</v>
      </c>
      <c r="D5" s="4">
        <v>4454</v>
      </c>
      <c r="E5" s="4">
        <v>73.400000000000006</v>
      </c>
      <c r="F5" s="4">
        <v>1185</v>
      </c>
    </row>
    <row r="6" spans="1:6" x14ac:dyDescent="0.25">
      <c r="A6" s="4" t="s">
        <v>68</v>
      </c>
      <c r="B6" s="4" t="s">
        <v>67</v>
      </c>
      <c r="C6" s="4">
        <v>7</v>
      </c>
      <c r="D6" s="4">
        <v>3247</v>
      </c>
      <c r="E6" s="4">
        <v>83.5</v>
      </c>
      <c r="F6" s="4">
        <v>535</v>
      </c>
    </row>
    <row r="7" spans="1:6" x14ac:dyDescent="0.25">
      <c r="A7" s="4" t="s">
        <v>69</v>
      </c>
      <c r="B7" s="4" t="s">
        <v>67</v>
      </c>
      <c r="C7" s="4">
        <v>2</v>
      </c>
      <c r="D7" s="4">
        <v>1566</v>
      </c>
      <c r="E7" s="4">
        <v>86.6</v>
      </c>
      <c r="F7" s="4">
        <v>210</v>
      </c>
    </row>
    <row r="8" spans="1:6" x14ac:dyDescent="0.25">
      <c r="A8" s="11" t="s">
        <v>70</v>
      </c>
      <c r="B8" s="12"/>
      <c r="C8" s="11">
        <f>SUM(C2:C7)</f>
        <v>93</v>
      </c>
      <c r="D8" s="11">
        <f>SUM(D2:D7)</f>
        <v>57280</v>
      </c>
      <c r="E8" s="11">
        <v>88.8</v>
      </c>
      <c r="F8" s="11">
        <f>SUM(F2:F7)</f>
        <v>6425</v>
      </c>
    </row>
    <row r="9" spans="1:6" x14ac:dyDescent="0.25">
      <c r="A9" s="7" t="s">
        <v>71</v>
      </c>
      <c r="C9" s="7">
        <f>C2+C3+C4</f>
        <v>71</v>
      </c>
      <c r="D9" s="7">
        <f>D2+D3+D4</f>
        <v>48013</v>
      </c>
      <c r="F9" s="7">
        <f>F2+F3+F4</f>
        <v>4495</v>
      </c>
    </row>
    <row r="10" spans="1:6" x14ac:dyDescent="0.25">
      <c r="A10" s="7" t="s">
        <v>72</v>
      </c>
      <c r="C10" s="7">
        <f>C5+C6+C7</f>
        <v>22</v>
      </c>
      <c r="D10" s="7">
        <f>D5+D6+D7</f>
        <v>9267</v>
      </c>
      <c r="F10" s="7">
        <f>F5+F6+F7</f>
        <v>1930</v>
      </c>
    </row>
    <row r="12" spans="1:6" x14ac:dyDescent="0.25">
      <c r="A12" s="13" t="s">
        <v>73</v>
      </c>
    </row>
    <row r="13" spans="1:6" x14ac:dyDescent="0.25">
      <c r="A13" s="13" t="s">
        <v>74</v>
      </c>
    </row>
    <row r="14" spans="1:6" x14ac:dyDescent="0.25">
      <c r="A14" s="13" t="s">
        <v>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zoomScaleNormal="100" workbookViewId="0"/>
  </sheetViews>
  <sheetFormatPr defaultColWidth="8.7109375" defaultRowHeight="15" x14ac:dyDescent="0.25"/>
  <cols>
    <col min="1" max="1" width="30" customWidth="1"/>
    <col min="2" max="2" width="13" customWidth="1"/>
    <col min="3" max="4" width="15" customWidth="1"/>
    <col min="5" max="5" width="26" customWidth="1"/>
  </cols>
  <sheetData>
    <row r="1" spans="1:5" x14ac:dyDescent="0.25">
      <c r="A1" s="10" t="s">
        <v>52</v>
      </c>
      <c r="B1" s="10" t="s">
        <v>53</v>
      </c>
      <c r="C1" s="10" t="s">
        <v>54</v>
      </c>
      <c r="D1" s="10" t="s">
        <v>55</v>
      </c>
      <c r="E1" s="10" t="s">
        <v>56</v>
      </c>
    </row>
    <row r="2" spans="1:5" x14ac:dyDescent="0.25">
      <c r="A2" s="2" t="s">
        <v>64</v>
      </c>
      <c r="B2" s="2">
        <v>27258</v>
      </c>
      <c r="C2" s="2">
        <v>86.8</v>
      </c>
      <c r="D2" s="2">
        <v>3606</v>
      </c>
      <c r="E2" s="2">
        <v>13.2</v>
      </c>
    </row>
    <row r="3" spans="1:5" x14ac:dyDescent="0.25">
      <c r="A3" s="2" t="s">
        <v>58</v>
      </c>
      <c r="B3" s="2">
        <v>13050</v>
      </c>
      <c r="C3" s="2">
        <v>87.3</v>
      </c>
      <c r="D3" s="2">
        <v>1656</v>
      </c>
      <c r="E3" s="2">
        <v>12.7</v>
      </c>
    </row>
    <row r="4" spans="1:5" x14ac:dyDescent="0.25">
      <c r="A4" s="2" t="s">
        <v>59</v>
      </c>
      <c r="B4" s="2">
        <v>16973</v>
      </c>
      <c r="C4" s="2">
        <v>93.1</v>
      </c>
      <c r="D4" s="2">
        <v>1164</v>
      </c>
      <c r="E4" s="2">
        <v>6.9</v>
      </c>
    </row>
    <row r="5" spans="1:5" x14ac:dyDescent="0.25">
      <c r="A5" s="11" t="s">
        <v>31</v>
      </c>
      <c r="B5" s="11">
        <v>57281</v>
      </c>
      <c r="C5" s="11">
        <v>88.8</v>
      </c>
      <c r="D5" s="11">
        <v>6426</v>
      </c>
      <c r="E5" s="11">
        <v>11.2</v>
      </c>
    </row>
    <row r="7" spans="1:5" x14ac:dyDescent="0.25">
      <c r="A7" s="13" t="s">
        <v>76</v>
      </c>
    </row>
    <row r="8" spans="1:5" x14ac:dyDescent="0.25">
      <c r="A8" s="13" t="s">
        <v>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0"/>
  <sheetViews>
    <sheetView zoomScaleNormal="100" workbookViewId="0"/>
  </sheetViews>
  <sheetFormatPr defaultColWidth="8.7109375" defaultRowHeight="15" x14ac:dyDescent="0.25"/>
  <cols>
    <col min="1" max="1" width="26" customWidth="1"/>
    <col min="2" max="2" width="20" customWidth="1"/>
    <col min="3" max="3" width="25" customWidth="1"/>
    <col min="4" max="4" width="9" customWidth="1"/>
  </cols>
  <sheetData>
    <row r="1" spans="1:4" x14ac:dyDescent="0.25">
      <c r="A1" s="10" t="s">
        <v>78</v>
      </c>
      <c r="B1" s="10" t="s">
        <v>79</v>
      </c>
      <c r="C1" s="10" t="s">
        <v>80</v>
      </c>
      <c r="D1" s="10" t="s">
        <v>81</v>
      </c>
    </row>
    <row r="2" spans="1:4" x14ac:dyDescent="0.25">
      <c r="A2" s="2" t="s">
        <v>82</v>
      </c>
      <c r="B2" s="2">
        <v>3560</v>
      </c>
      <c r="C2" s="2">
        <v>57281</v>
      </c>
      <c r="D2" s="2" t="s">
        <v>83</v>
      </c>
    </row>
    <row r="3" spans="1:4" x14ac:dyDescent="0.25">
      <c r="A3" s="2" t="s">
        <v>84</v>
      </c>
      <c r="B3" s="2">
        <v>85.1</v>
      </c>
      <c r="C3" s="2">
        <v>88.8</v>
      </c>
      <c r="D3" s="2" t="s">
        <v>85</v>
      </c>
    </row>
    <row r="4" spans="1:4" x14ac:dyDescent="0.25">
      <c r="A4" s="7" t="s">
        <v>86</v>
      </c>
      <c r="B4" s="7">
        <v>531</v>
      </c>
      <c r="C4" s="7">
        <v>6426</v>
      </c>
      <c r="D4" s="7" t="s">
        <v>87</v>
      </c>
    </row>
    <row r="5" spans="1:4" x14ac:dyDescent="0.25">
      <c r="A5" s="2"/>
      <c r="B5" s="2"/>
      <c r="C5" s="2"/>
      <c r="D5" s="2"/>
    </row>
    <row r="6" spans="1:4" x14ac:dyDescent="0.25">
      <c r="A6" s="2" t="s">
        <v>88</v>
      </c>
      <c r="B6" s="2">
        <v>1671</v>
      </c>
      <c r="C6" s="2">
        <v>27258</v>
      </c>
      <c r="D6" s="2" t="s">
        <v>83</v>
      </c>
    </row>
    <row r="7" spans="1:4" x14ac:dyDescent="0.25">
      <c r="A7" s="2" t="s">
        <v>89</v>
      </c>
      <c r="B7" s="2">
        <v>81</v>
      </c>
      <c r="C7" s="2">
        <v>86.8</v>
      </c>
      <c r="D7" s="2" t="s">
        <v>90</v>
      </c>
    </row>
    <row r="8" spans="1:4" x14ac:dyDescent="0.25">
      <c r="A8" s="2" t="s">
        <v>91</v>
      </c>
      <c r="B8" s="2">
        <v>317</v>
      </c>
      <c r="C8" s="2">
        <v>3606</v>
      </c>
      <c r="D8" s="2" t="s">
        <v>92</v>
      </c>
    </row>
    <row r="9" spans="1:4" x14ac:dyDescent="0.25">
      <c r="A9" s="2"/>
      <c r="B9" s="2"/>
      <c r="C9" s="2"/>
      <c r="D9" s="2"/>
    </row>
    <row r="10" spans="1:4" x14ac:dyDescent="0.25">
      <c r="A10" s="2" t="s">
        <v>93</v>
      </c>
      <c r="B10" s="2">
        <v>831</v>
      </c>
      <c r="C10" s="2">
        <v>13050</v>
      </c>
      <c r="D10" s="2" t="s">
        <v>83</v>
      </c>
    </row>
    <row r="11" spans="1:4" x14ac:dyDescent="0.25">
      <c r="A11" s="2" t="s">
        <v>94</v>
      </c>
      <c r="B11" s="2">
        <v>86.8</v>
      </c>
      <c r="C11" s="2">
        <v>87.3</v>
      </c>
      <c r="D11" s="2" t="s">
        <v>95</v>
      </c>
    </row>
    <row r="12" spans="1:4" x14ac:dyDescent="0.25">
      <c r="A12" s="2" t="s">
        <v>96</v>
      </c>
      <c r="B12" s="2">
        <v>110</v>
      </c>
      <c r="C12" s="2">
        <v>1656</v>
      </c>
      <c r="D12" s="2" t="s">
        <v>97</v>
      </c>
    </row>
    <row r="13" spans="1:4" x14ac:dyDescent="0.25">
      <c r="A13" s="2"/>
      <c r="B13" s="2"/>
      <c r="C13" s="2"/>
      <c r="D13" s="2"/>
    </row>
    <row r="14" spans="1:4" x14ac:dyDescent="0.25">
      <c r="A14" s="2" t="s">
        <v>98</v>
      </c>
      <c r="B14" s="2">
        <v>1058</v>
      </c>
      <c r="C14" s="2">
        <v>16973</v>
      </c>
      <c r="D14" s="2" t="s">
        <v>83</v>
      </c>
    </row>
    <row r="15" spans="1:4" x14ac:dyDescent="0.25">
      <c r="A15" s="2" t="s">
        <v>99</v>
      </c>
      <c r="B15" s="2">
        <v>90.2</v>
      </c>
      <c r="C15" s="2">
        <v>93.1</v>
      </c>
      <c r="D15" s="2" t="s">
        <v>100</v>
      </c>
    </row>
    <row r="16" spans="1:4" x14ac:dyDescent="0.25">
      <c r="A16" s="2" t="s">
        <v>101</v>
      </c>
      <c r="B16" s="2">
        <v>104</v>
      </c>
      <c r="C16" s="2">
        <v>1164</v>
      </c>
      <c r="D16" s="2" t="s">
        <v>92</v>
      </c>
    </row>
    <row r="17" spans="1:4" x14ac:dyDescent="0.25">
      <c r="A17" s="2"/>
      <c r="B17" s="2"/>
      <c r="C17" s="2"/>
      <c r="D17" s="2"/>
    </row>
    <row r="18" spans="1:4" x14ac:dyDescent="0.25">
      <c r="A18" s="2" t="s">
        <v>102</v>
      </c>
      <c r="B18" s="2">
        <v>414</v>
      </c>
      <c r="C18" s="2" t="s">
        <v>103</v>
      </c>
      <c r="D18" s="2" t="s">
        <v>104</v>
      </c>
    </row>
    <row r="19" spans="1:4" x14ac:dyDescent="0.25">
      <c r="A19" s="2" t="s">
        <v>105</v>
      </c>
      <c r="B19" s="2">
        <v>78</v>
      </c>
      <c r="C19" s="2" t="s">
        <v>106</v>
      </c>
      <c r="D19" s="2" t="s">
        <v>106</v>
      </c>
    </row>
    <row r="20" spans="1:4" x14ac:dyDescent="0.25">
      <c r="A20" s="2" t="s">
        <v>107</v>
      </c>
      <c r="B20" s="2" t="s">
        <v>108</v>
      </c>
      <c r="C20" s="2" t="s">
        <v>109</v>
      </c>
      <c r="D20" s="2" t="s">
        <v>106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1_TX_K_Coverage</vt:lpstr>
      <vt:lpstr>2_TX_7th_Coverage</vt:lpstr>
      <vt:lpstr>3_TX_Enrollment</vt:lpstr>
      <vt:lpstr>4_TX_Cohort_Recon</vt:lpstr>
      <vt:lpstr>5_Gaines_Summary</vt:lpstr>
      <vt:lpstr>6_Spartanburg_by_Type</vt:lpstr>
      <vt:lpstr>7_Spartanburg_Allocated</vt:lpstr>
      <vt:lpstr>8_Final_Comparison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Siyu Chen</cp:lastModifiedBy>
  <cp:revision>0</cp:revision>
  <dcterms:created xsi:type="dcterms:W3CDTF">2026-02-21T14:00:49Z</dcterms:created>
  <dcterms:modified xsi:type="dcterms:W3CDTF">2026-02-21T15:16:51Z</dcterms:modified>
  <dc:language>en-US</dc:language>
</cp:coreProperties>
</file>