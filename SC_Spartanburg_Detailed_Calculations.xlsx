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ornellprod-my.sharepoint.com/personal/sc3447_cornell_edu/Documents/research/2026projects/JAMAResearchLetter/PNAS/"/>
    </mc:Choice>
  </mc:AlternateContent>
  <xr:revisionPtr revIDLastSave="3" documentId="11_1EA013021BAA24B6450F9D428D7E1475BE95C421" xr6:coauthVersionLast="47" xr6:coauthVersionMax="47" xr10:uidLastSave="{6F08E1F5-1367-4B8E-9684-C17692E55C8B}"/>
  <bookViews>
    <workbookView xWindow="5895" yWindow="4185" windowWidth="21600" windowHeight="11295" tabRatio="500" firstSheet="2" activeTab="4" xr2:uid="{00000000-000D-0000-FFFF-FFFF00000000}"/>
  </bookViews>
  <sheets>
    <sheet name="SC_1_All_Schools" sheetId="1" r:id="rId1"/>
    <sheet name="SC_2_Multi_Grade_Allocation" sheetId="2" r:id="rId2"/>
    <sheet name="SC_3_Pure_Type_Summary" sheetId="3" r:id="rId3"/>
    <sheet name="SC_4_Final_Assembly" sheetId="4" r:id="rId4"/>
    <sheet name="school_exposure_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4" i="3" l="1"/>
  <c r="D84" i="3"/>
  <c r="F69" i="3"/>
  <c r="D69" i="3"/>
  <c r="F49" i="3"/>
  <c r="D49" i="3"/>
  <c r="S28" i="2"/>
  <c r="R28" i="2"/>
  <c r="Q28" i="2"/>
  <c r="P28" i="2"/>
  <c r="O28" i="2"/>
  <c r="N28" i="2"/>
  <c r="E28" i="2"/>
  <c r="C28" i="2"/>
  <c r="G95" i="1"/>
  <c r="E95" i="1"/>
</calcChain>
</file>

<file path=xl/sharedStrings.xml><?xml version="1.0" encoding="utf-8"?>
<sst xmlns="http://schemas.openxmlformats.org/spreadsheetml/2006/main" count="1012" uniqueCount="290">
  <si>
    <t>#</t>
  </si>
  <si>
    <t>School Name</t>
  </si>
  <si>
    <t>City</t>
  </si>
  <si>
    <t>Grade Range</t>
  </si>
  <si>
    <t>Students</t>
  </si>
  <si>
    <t>Immunization</t>
  </si>
  <si>
    <t>Unvaccinated</t>
  </si>
  <si>
    <t>Classification</t>
  </si>
  <si>
    <t>Elem Grades</t>
  </si>
  <si>
    <t>Mid Grades</t>
  </si>
  <si>
    <t>High Grades</t>
  </si>
  <si>
    <t>Total Grades</t>
  </si>
  <si>
    <t>Boiling Springs Elementary</t>
  </si>
  <si>
    <t>Boiling Springs</t>
  </si>
  <si>
    <t>K4-5th</t>
  </si>
  <si>
    <t>Elem</t>
  </si>
  <si>
    <t>Boiling Springs High</t>
  </si>
  <si>
    <t>9-12</t>
  </si>
  <si>
    <t>High</t>
  </si>
  <si>
    <t>Center</t>
  </si>
  <si>
    <t>1K - 5K</t>
  </si>
  <si>
    <t>James H. Hendrix Elementary</t>
  </si>
  <si>
    <t>K4-5</t>
  </si>
  <si>
    <t>Libertas Academy - Boiling Springs</t>
  </si>
  <si>
    <t>4k-8th</t>
  </si>
  <si>
    <t>Elem+Middle</t>
  </si>
  <si>
    <t>Shoally Creek Elementary</t>
  </si>
  <si>
    <t>4K-5th Grade</t>
  </si>
  <si>
    <t>Sugar Ridge Elementary</t>
  </si>
  <si>
    <t>4K-5th</t>
  </si>
  <si>
    <t>Campobello-Gramling School</t>
  </si>
  <si>
    <t>Campobello</t>
  </si>
  <si>
    <t>K5-8</t>
  </si>
  <si>
    <t>Holly Springs-Motlow Elementary</t>
  </si>
  <si>
    <t>K4-6th grade</t>
  </si>
  <si>
    <t>Landrum High</t>
  </si>
  <si>
    <t>Carlisle-Foster's Grove Elementary</t>
  </si>
  <si>
    <t>Chesnee</t>
  </si>
  <si>
    <t>3k-5th</t>
  </si>
  <si>
    <t>Chesnee Elementary</t>
  </si>
  <si>
    <t>k3-5</t>
  </si>
  <si>
    <t>Chesnee High</t>
  </si>
  <si>
    <t>Chesnee Middle</t>
  </si>
  <si>
    <t>6-8</t>
  </si>
  <si>
    <t>Middle</t>
  </si>
  <si>
    <t>Cooley Springs-Fingerville Elementary</t>
  </si>
  <si>
    <t>Rainbow Lake Middle</t>
  </si>
  <si>
    <t>Cowpens Elementary</t>
  </si>
  <si>
    <t>Cowpens</t>
  </si>
  <si>
    <t>3k-5th grade</t>
  </si>
  <si>
    <t>Mountain View Christian Academy</t>
  </si>
  <si>
    <t>K4-12th</t>
  </si>
  <si>
    <t>Elem+Middle+High</t>
  </si>
  <si>
    <t>Abner Creek Academy</t>
  </si>
  <si>
    <t>Duncan</t>
  </si>
  <si>
    <t>K5-5th</t>
  </si>
  <si>
    <t>Beech Springs Middle</t>
  </si>
  <si>
    <t>Berry Shoals Elementary</t>
  </si>
  <si>
    <t>-2 through 5th</t>
  </si>
  <si>
    <t>Duncan Elementary School of the Arts</t>
  </si>
  <si>
    <t>Florence Chapel Middle</t>
  </si>
  <si>
    <t>James Byrnes Freshman Academy</t>
  </si>
  <si>
    <t>1-9</t>
  </si>
  <si>
    <t>James F. Byrnes High</t>
  </si>
  <si>
    <t>10-12</t>
  </si>
  <si>
    <t>Tyger River Elementary</t>
  </si>
  <si>
    <t>K4-5th Grade</t>
  </si>
  <si>
    <t>Abner Creek Middle</t>
  </si>
  <si>
    <t>Greer</t>
  </si>
  <si>
    <t>Boiling Springs Middle</t>
  </si>
  <si>
    <t>Inman</t>
  </si>
  <si>
    <t>Chapman High</t>
  </si>
  <si>
    <t>7-12</t>
  </si>
  <si>
    <t>Middle+High</t>
  </si>
  <si>
    <t>Inman Elementary</t>
  </si>
  <si>
    <t>4k - 3rd</t>
  </si>
  <si>
    <t>Inman Intermediate</t>
  </si>
  <si>
    <t>4,5,6</t>
  </si>
  <si>
    <t>New Prospect Elementary</t>
  </si>
  <si>
    <t>K4-6</t>
  </si>
  <si>
    <t>Oakland Elementary</t>
  </si>
  <si>
    <t>T. E. Mabry Middle</t>
  </si>
  <si>
    <t>7-8</t>
  </si>
  <si>
    <t>Landrum Middle</t>
  </si>
  <si>
    <t>Landrum</t>
  </si>
  <si>
    <t>6-7</t>
  </si>
  <si>
    <t>O. P. Earle Elementary</t>
  </si>
  <si>
    <t>5K-5</t>
  </si>
  <si>
    <t>D. R. Hill Middle</t>
  </si>
  <si>
    <t>Lyman</t>
  </si>
  <si>
    <t>Lyman Elementary</t>
  </si>
  <si>
    <t>3K-5th</t>
  </si>
  <si>
    <t>Mayo Elementary</t>
  </si>
  <si>
    <t>Mayo</t>
  </si>
  <si>
    <t>Anderson Mill Elementary</t>
  </si>
  <si>
    <t>Moore</t>
  </si>
  <si>
    <t>R. P. Dawkins Middle</t>
  </si>
  <si>
    <t>River Ridge Elementary</t>
  </si>
  <si>
    <t>Pacolet Elementary</t>
  </si>
  <si>
    <t>Pacolet</t>
  </si>
  <si>
    <t>Pauline-Glenn Springs Elementary</t>
  </si>
  <si>
    <t>Pauline</t>
  </si>
  <si>
    <t>4k-5th</t>
  </si>
  <si>
    <t>Reidville Elementary</t>
  </si>
  <si>
    <t>Reidville</t>
  </si>
  <si>
    <t>4K-5</t>
  </si>
  <si>
    <t>Dorman Freshman Campus</t>
  </si>
  <si>
    <t>Roebuck</t>
  </si>
  <si>
    <t>Dorman High</t>
  </si>
  <si>
    <t>10 thru 12</t>
  </si>
  <si>
    <t>L. E. Gable Middle</t>
  </si>
  <si>
    <t>Roebuck Elementary</t>
  </si>
  <si>
    <t>St. Paul United Methodist Preschool</t>
  </si>
  <si>
    <t>Sparanburg</t>
  </si>
  <si>
    <t>infant -5th grad</t>
  </si>
  <si>
    <t>Arcadia Elementary</t>
  </si>
  <si>
    <t>Spartanburg</t>
  </si>
  <si>
    <t>5k-5th</t>
  </si>
  <si>
    <t>Broome High</t>
  </si>
  <si>
    <t>Cannons Elementary</t>
  </si>
  <si>
    <t>4k-5th grade</t>
  </si>
  <si>
    <t>Carver Middle</t>
  </si>
  <si>
    <t>Cedar Springs Academy</t>
  </si>
  <si>
    <t>pre-k -12th</t>
  </si>
  <si>
    <t>Clifdale Middle</t>
  </si>
  <si>
    <t>Drayton Mills Elementary</t>
  </si>
  <si>
    <t>E. P. Todd School</t>
  </si>
  <si>
    <t>3K - 5th</t>
  </si>
  <si>
    <t>Eddlemon Adventist School</t>
  </si>
  <si>
    <t>K-8</t>
  </si>
  <si>
    <t>Fairforest Elementary</t>
  </si>
  <si>
    <t>Fairforest Middle</t>
  </si>
  <si>
    <t>Global Academy of SC</t>
  </si>
  <si>
    <t>5K-8</t>
  </si>
  <si>
    <t>GREEN Charter School Spartanburg</t>
  </si>
  <si>
    <t>K5-8th</t>
  </si>
  <si>
    <t>High Point Academy</t>
  </si>
  <si>
    <t>K-12</t>
  </si>
  <si>
    <t>Jesse Boyd Elementary</t>
  </si>
  <si>
    <t>k4-5</t>
  </si>
  <si>
    <t>Jesse S. Bobo Elementary</t>
  </si>
  <si>
    <t>Legacy Christian School</t>
  </si>
  <si>
    <t>K-1</t>
  </si>
  <si>
    <t>Lone Oak Elementary</t>
  </si>
  <si>
    <t>5K - 5</t>
  </si>
  <si>
    <t>Mary H. Wright Elementary</t>
  </si>
  <si>
    <t>McCracken Middle</t>
  </si>
  <si>
    <t>Meeting Street Academy - Spartanburg</t>
  </si>
  <si>
    <t>Pk-5th</t>
  </si>
  <si>
    <t>Montessori Academy - Spartanburg</t>
  </si>
  <si>
    <t>8 weeks to 6th g</t>
  </si>
  <si>
    <t>Mountain View Preparatory</t>
  </si>
  <si>
    <t>Oakbrook Preparatory Schools</t>
  </si>
  <si>
    <t>K3-12</t>
  </si>
  <si>
    <t>Pine St. Elementary</t>
  </si>
  <si>
    <t>SC School for the Blind Elem/Middle</t>
  </si>
  <si>
    <t>pre- k thru 8th</t>
  </si>
  <si>
    <t>SC School for the Blind High</t>
  </si>
  <si>
    <t>PreK-8th</t>
  </si>
  <si>
    <t>SC School for the Deaf Elem/Middle</t>
  </si>
  <si>
    <t>pre-k thru 8th</t>
  </si>
  <si>
    <t>SC School for the Deaf High</t>
  </si>
  <si>
    <t>Spartanburg Christian Academy</t>
  </si>
  <si>
    <t>3k-12th</t>
  </si>
  <si>
    <t>Spartanburg Day School</t>
  </si>
  <si>
    <t>2k-12</t>
  </si>
  <si>
    <t>Spartanburg High</t>
  </si>
  <si>
    <t>9th-12th</t>
  </si>
  <si>
    <t>Spartanburg Preparatory School</t>
  </si>
  <si>
    <t>K4-8th</t>
  </si>
  <si>
    <t>St. Paul the Apostle Catholic School</t>
  </si>
  <si>
    <t>K4 - 5th</t>
  </si>
  <si>
    <t>The Cleveland Academy of Leadership</t>
  </si>
  <si>
    <t>West View Elementary</t>
  </si>
  <si>
    <t>5k - 5th grade</t>
  </si>
  <si>
    <t>Westgate Christian School</t>
  </si>
  <si>
    <t>K2-12th grade</t>
  </si>
  <si>
    <t>Woodland Heights Elementary</t>
  </si>
  <si>
    <t>K-5</t>
  </si>
  <si>
    <t>Wellford Academy of Science and Technology</t>
  </si>
  <si>
    <t>Wellford</t>
  </si>
  <si>
    <t>Woodruff Elementary</t>
  </si>
  <si>
    <t>Woodruff</t>
  </si>
  <si>
    <t>3-5</t>
  </si>
  <si>
    <t>Woodruff High</t>
  </si>
  <si>
    <t>Woodruff Middle</t>
  </si>
  <si>
    <t>Woodruff Primary</t>
  </si>
  <si>
    <t>3k-2nd</t>
  </si>
  <si>
    <t>TOTAL</t>
  </si>
  <si>
    <t>Source: SC DHEC 45-Day Immunization Report, 2025-26 school year</t>
  </si>
  <si>
    <t>Unvaccinated = Total Students × (1 − Immunization rate), rounded</t>
  </si>
  <si>
    <t>Yellow rows = multi-grade schools requiring proportional allocation</t>
  </si>
  <si>
    <t>Classification: Elem = K-5 only; Middle = 6-8 only; High = 9-12 only; Multi = spans multiple levels</t>
  </si>
  <si>
    <t>Freshman Academies (Byrnes, Dorman) classified as High (grade 9) — paired with separate 10-12 campuses</t>
  </si>
  <si>
    <t>SC School for the Blind High (PreK-8th): classified as Elem+Middle based on actual grade range, not school name</t>
  </si>
  <si>
    <t>Proportional Allocation of Multi-Grade Schools</t>
  </si>
  <si>
    <t>Method: Enrollment and unvaccinated split proportionally by number of K-12 grade levels served at each level</t>
  </si>
  <si>
    <t>Assumption: School-wide compliance rate applies uniformly across all grade levels within each school</t>
  </si>
  <si>
    <t>Immun</t>
  </si>
  <si>
    <t>Unvac</t>
  </si>
  <si>
    <t>Elem Fraction</t>
  </si>
  <si>
    <t>Mid Fraction</t>
  </si>
  <si>
    <t>High Fraction</t>
  </si>
  <si>
    <t>→ Elem Students</t>
  </si>
  <si>
    <t>→ Elem Unvac</t>
  </si>
  <si>
    <t>→ Mid Students</t>
  </si>
  <si>
    <t>→ Mid Unvac</t>
  </si>
  <si>
    <t>→ High Students</t>
  </si>
  <si>
    <t>→ High Unvac</t>
  </si>
  <si>
    <t>MULTI-GRADE SUBTOTAL</t>
  </si>
  <si>
    <t>Pure-Type Schools (direct assignment to level)</t>
  </si>
  <si>
    <t>Pure ELEMENTARY Schools</t>
  </si>
  <si>
    <t>SUBTOTAL (44 schools)</t>
  </si>
  <si>
    <t>Pure MIDDLE Schools</t>
  </si>
  <si>
    <t>SUBTOTAL (16 schools)</t>
  </si>
  <si>
    <t>Pure HIGH Schools</t>
  </si>
  <si>
    <t>SUBTOTAL (11 schools)</t>
  </si>
  <si>
    <t>Final Assembly: Pure-Type + Allocated Multi-Grade → Elementary / Middle / High</t>
  </si>
  <si>
    <t>Level</t>
  </si>
  <si>
    <t>Source</t>
  </si>
  <si>
    <t>Schools</t>
  </si>
  <si>
    <t>Coverage (%)</t>
  </si>
  <si>
    <t>ELEMENTARY</t>
  </si>
  <si>
    <t>Pure Elementary schools</t>
  </si>
  <si>
    <t>Allocated from multi-grade</t>
  </si>
  <si>
    <t>22 (partial)</t>
  </si>
  <si>
    <t>ELEMENTARY TOTAL</t>
  </si>
  <si>
    <t>MIDDLE</t>
  </si>
  <si>
    <t>Pure Middle schools</t>
  </si>
  <si>
    <t>MIDDLE TOTAL</t>
  </si>
  <si>
    <t>HIGH</t>
  </si>
  <si>
    <t>Pure High schools</t>
  </si>
  <si>
    <t>HIGH TOTAL</t>
  </si>
  <si>
    <t>GRAND TOTAL K-12</t>
  </si>
  <si>
    <t>Pure schools: Enrollment and unvaccinated assigned directly to their level</t>
  </si>
  <si>
    <t>Multi-grade schools: Split proportionally by grade span (e.g., K-8 school → 6/9 Elem + 3/9 Middle)</t>
  </si>
  <si>
    <t>Assumption: School-wide compliance rate uniform across grade levels within each school</t>
  </si>
  <si>
    <t>Note: 22 multi-grade schools (9,267 students) require allocation</t>
  </si>
  <si>
    <t>Freshman academies (Byrnes 1-9, Dorman 1-9) classified as grade 9 only → High</t>
  </si>
  <si>
    <t>report_date</t>
  </si>
  <si>
    <t>outbreak_total</t>
  </si>
  <si>
    <t>school_name</t>
  </si>
  <si>
    <t>quarantine_count</t>
  </si>
  <si>
    <t>notes</t>
  </si>
  <si>
    <t>report_day</t>
  </si>
  <si>
    <t>Global Academy of South Carolina</t>
  </si>
  <si>
    <t>First school identified; 153 unvax students across both schools</t>
  </si>
  <si>
    <t>First school identified; 82% vax rate</t>
  </si>
  <si>
    <t>139 students quarantining (down from 153 after investigation)</t>
  </si>
  <si>
    <t>Combined count with Global Academy; 5 new cases among quarantined</t>
  </si>
  <si>
    <t>Exclusionary period over; students returned Oct 21</t>
  </si>
  <si>
    <t>Exclusionary period over; students returned Oct 22</t>
  </si>
  <si>
    <t>New exposure identified</t>
  </si>
  <si>
    <t>D.R. Hill Middle</t>
  </si>
  <si>
    <t>Single student quarantined</t>
  </si>
  <si>
    <t>Hendrix Elementary</t>
  </si>
  <si>
    <t>New exposure; return by Dec 11-15</t>
  </si>
  <si>
    <t>Mabry Middle</t>
  </si>
  <si>
    <t>New exposure</t>
  </si>
  <si>
    <t>New exposure; some sources say 21</t>
  </si>
  <si>
    <t>Second round of quarantines</t>
  </si>
  <si>
    <t>New exposure; reported as &lt;5</t>
  </si>
  <si>
    <t>Continuing</t>
  </si>
  <si>
    <t>Continuing; updated count</t>
  </si>
  <si>
    <t>New exposure; notifications began Dec 4; return by Dec 15</t>
  </si>
  <si>
    <t>Campobello Gramling School</t>
  </si>
  <si>
    <t>Updated count</t>
  </si>
  <si>
    <t>New exposure; notifications Dec 17</t>
  </si>
  <si>
    <t>New exposure; notifications Dec 31</t>
  </si>
  <si>
    <t>New exposure; combined count with Sugar Ridge</t>
  </si>
  <si>
    <t>Exposure identified Jan 9; 94% vax rate</t>
  </si>
  <si>
    <t>Continuing/new quarantine</t>
  </si>
  <si>
    <t>Crestview Elementary</t>
  </si>
  <si>
    <t>New exposure (Greenville County)</t>
  </si>
  <si>
    <t>Libertas Academy</t>
  </si>
  <si>
    <t>New exposure; charter school</t>
  </si>
  <si>
    <t>Continuing quarantine</t>
  </si>
  <si>
    <t>Starr Elementary</t>
  </si>
  <si>
    <t>New exposure (Anderson County)</t>
  </si>
  <si>
    <t>New exposure (second round)</t>
  </si>
  <si>
    <t>Clemson University</t>
  </si>
  <si>
    <t>New exposure (university)</t>
  </si>
  <si>
    <t>Anderson University</t>
  </si>
  <si>
    <t>New exposure; count TBD</t>
  </si>
  <si>
    <t>Continuing/new</t>
  </si>
  <si>
    <t>Continuing; reported as &lt;5</t>
  </si>
  <si>
    <t>New exposure; quarantine TBD</t>
  </si>
  <si>
    <t>New exposure (second round); quarantine TBD</t>
  </si>
  <si>
    <t>Reported as &lt;5</t>
  </si>
  <si>
    <t>New exposure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</si>
</sst>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808080"/>
      <name val="Arial"/>
      <charset val="1"/>
    </font>
    <font>
      <b/>
      <sz val="12"/>
      <color rgb="FF1F4E79"/>
      <name val="Arial"/>
      <charset val="1"/>
    </font>
    <font>
      <b/>
      <sz val="11"/>
      <color rgb="FFC00000"/>
      <name val="Arial"/>
      <charset val="1"/>
    </font>
    <font>
      <b/>
      <sz val="12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D6E4F0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6" fillId="0" borderId="0" xfId="0" applyFont="1"/>
    <xf numFmtId="0" fontId="3" fillId="4" borderId="0" xfId="0" applyFont="1" applyFill="1"/>
    <xf numFmtId="0" fontId="0" fillId="4" borderId="0" xfId="0" applyFill="1"/>
    <xf numFmtId="0" fontId="5" fillId="4" borderId="0" xfId="0" applyFont="1" applyFill="1"/>
    <xf numFmtId="0" fontId="7" fillId="4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zoomScaleNormal="100" workbookViewId="0"/>
  </sheetViews>
  <sheetFormatPr defaultColWidth="8.7109375" defaultRowHeight="15" x14ac:dyDescent="0.25"/>
  <cols>
    <col min="1" max="2" width="35" customWidth="1"/>
    <col min="3" max="3" width="18" customWidth="1"/>
    <col min="4" max="4" width="19" customWidth="1"/>
    <col min="5" max="7" width="15" customWidth="1"/>
    <col min="8" max="8" width="19" customWidth="1"/>
    <col min="9" max="9" width="14" customWidth="1"/>
    <col min="10" max="10" width="13" customWidth="1"/>
    <col min="11" max="11" width="14" customWidth="1"/>
    <col min="12" max="12" width="1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 t="s">
        <v>12</v>
      </c>
      <c r="C2" s="2" t="s">
        <v>13</v>
      </c>
      <c r="D2" s="2" t="s">
        <v>14</v>
      </c>
      <c r="E2" s="2">
        <v>852</v>
      </c>
      <c r="F2" s="3">
        <v>0.80400000000000005</v>
      </c>
      <c r="G2" s="2">
        <v>167</v>
      </c>
      <c r="H2" s="2" t="s">
        <v>15</v>
      </c>
      <c r="I2" s="2">
        <v>6</v>
      </c>
      <c r="J2" s="2">
        <v>0</v>
      </c>
      <c r="K2" s="2">
        <v>0</v>
      </c>
      <c r="L2" s="2">
        <v>6</v>
      </c>
    </row>
    <row r="3" spans="1:12" x14ac:dyDescent="0.25">
      <c r="A3" s="2">
        <v>2</v>
      </c>
      <c r="B3" s="2" t="s">
        <v>16</v>
      </c>
      <c r="C3" s="2" t="s">
        <v>13</v>
      </c>
      <c r="D3" s="2" t="s">
        <v>17</v>
      </c>
      <c r="E3" s="2">
        <v>2781</v>
      </c>
      <c r="F3" s="3">
        <v>0.91500000000000004</v>
      </c>
      <c r="G3" s="2">
        <v>236</v>
      </c>
      <c r="H3" s="2" t="s">
        <v>18</v>
      </c>
      <c r="I3" s="2">
        <v>0</v>
      </c>
      <c r="J3" s="2">
        <v>0</v>
      </c>
      <c r="K3" s="2">
        <v>4</v>
      </c>
      <c r="L3" s="2">
        <v>4</v>
      </c>
    </row>
    <row r="4" spans="1:12" x14ac:dyDescent="0.25">
      <c r="A4" s="2">
        <v>3</v>
      </c>
      <c r="B4" s="2" t="s">
        <v>19</v>
      </c>
      <c r="C4" s="2" t="s">
        <v>13</v>
      </c>
      <c r="D4" s="2" t="s">
        <v>20</v>
      </c>
      <c r="E4" s="2">
        <v>15</v>
      </c>
      <c r="F4" s="3">
        <v>0.8</v>
      </c>
      <c r="G4" s="2">
        <v>3</v>
      </c>
      <c r="H4" s="2" t="s">
        <v>15</v>
      </c>
      <c r="I4" s="2">
        <v>1</v>
      </c>
      <c r="J4" s="2">
        <v>0</v>
      </c>
      <c r="K4" s="2">
        <v>0</v>
      </c>
      <c r="L4" s="2">
        <v>1</v>
      </c>
    </row>
    <row r="5" spans="1:12" x14ac:dyDescent="0.25">
      <c r="A5" s="2">
        <v>4</v>
      </c>
      <c r="B5" s="2" t="s">
        <v>21</v>
      </c>
      <c r="C5" s="2" t="s">
        <v>13</v>
      </c>
      <c r="D5" s="2" t="s">
        <v>22</v>
      </c>
      <c r="E5" s="2">
        <v>661</v>
      </c>
      <c r="F5" s="3">
        <v>0.86799999999999999</v>
      </c>
      <c r="G5" s="2">
        <v>87</v>
      </c>
      <c r="H5" s="2" t="s">
        <v>15</v>
      </c>
      <c r="I5" s="2">
        <v>6</v>
      </c>
      <c r="J5" s="2">
        <v>0</v>
      </c>
      <c r="K5" s="2">
        <v>0</v>
      </c>
      <c r="L5" s="2">
        <v>6</v>
      </c>
    </row>
    <row r="6" spans="1:12" x14ac:dyDescent="0.25">
      <c r="A6" s="4">
        <v>5</v>
      </c>
      <c r="B6" s="4" t="s">
        <v>23</v>
      </c>
      <c r="C6" s="4" t="s">
        <v>13</v>
      </c>
      <c r="D6" s="4" t="s">
        <v>24</v>
      </c>
      <c r="E6" s="4">
        <v>822</v>
      </c>
      <c r="F6" s="5">
        <v>0.74299999999999999</v>
      </c>
      <c r="G6" s="4">
        <v>211</v>
      </c>
      <c r="H6" s="4" t="s">
        <v>25</v>
      </c>
      <c r="I6" s="4">
        <v>6</v>
      </c>
      <c r="J6" s="4">
        <v>3</v>
      </c>
      <c r="K6" s="4">
        <v>0</v>
      </c>
      <c r="L6" s="4">
        <v>9</v>
      </c>
    </row>
    <row r="7" spans="1:12" x14ac:dyDescent="0.25">
      <c r="A7" s="2">
        <v>6</v>
      </c>
      <c r="B7" s="2" t="s">
        <v>26</v>
      </c>
      <c r="C7" s="2" t="s">
        <v>13</v>
      </c>
      <c r="D7" s="2" t="s">
        <v>27</v>
      </c>
      <c r="E7" s="2">
        <v>807</v>
      </c>
      <c r="F7" s="3">
        <v>0.86</v>
      </c>
      <c r="G7" s="2">
        <v>113</v>
      </c>
      <c r="H7" s="2" t="s">
        <v>15</v>
      </c>
      <c r="I7" s="2">
        <v>6</v>
      </c>
      <c r="J7" s="2">
        <v>0</v>
      </c>
      <c r="K7" s="2">
        <v>0</v>
      </c>
      <c r="L7" s="2">
        <v>6</v>
      </c>
    </row>
    <row r="8" spans="1:12" x14ac:dyDescent="0.25">
      <c r="A8" s="2">
        <v>7</v>
      </c>
      <c r="B8" s="2" t="s">
        <v>28</v>
      </c>
      <c r="C8" s="2" t="s">
        <v>13</v>
      </c>
      <c r="D8" s="2" t="s">
        <v>29</v>
      </c>
      <c r="E8" s="2">
        <v>890</v>
      </c>
      <c r="F8" s="3">
        <v>0.77500000000000002</v>
      </c>
      <c r="G8" s="2">
        <v>200</v>
      </c>
      <c r="H8" s="2" t="s">
        <v>15</v>
      </c>
      <c r="I8" s="2">
        <v>6</v>
      </c>
      <c r="J8" s="2">
        <v>0</v>
      </c>
      <c r="K8" s="2">
        <v>0</v>
      </c>
      <c r="L8" s="2">
        <v>6</v>
      </c>
    </row>
    <row r="9" spans="1:12" x14ac:dyDescent="0.25">
      <c r="A9" s="4">
        <v>8</v>
      </c>
      <c r="B9" s="4" t="s">
        <v>30</v>
      </c>
      <c r="C9" s="4" t="s">
        <v>31</v>
      </c>
      <c r="D9" s="4" t="s">
        <v>32</v>
      </c>
      <c r="E9" s="4">
        <v>797</v>
      </c>
      <c r="F9" s="5">
        <v>0.80200000000000005</v>
      </c>
      <c r="G9" s="4">
        <v>158</v>
      </c>
      <c r="H9" s="4" t="s">
        <v>25</v>
      </c>
      <c r="I9" s="4">
        <v>6</v>
      </c>
      <c r="J9" s="4">
        <v>3</v>
      </c>
      <c r="K9" s="4">
        <v>0</v>
      </c>
      <c r="L9" s="4">
        <v>9</v>
      </c>
    </row>
    <row r="10" spans="1:12" x14ac:dyDescent="0.25">
      <c r="A10" s="4">
        <v>9</v>
      </c>
      <c r="B10" s="4" t="s">
        <v>33</v>
      </c>
      <c r="C10" s="4" t="s">
        <v>31</v>
      </c>
      <c r="D10" s="4" t="s">
        <v>34</v>
      </c>
      <c r="E10" s="4">
        <v>482</v>
      </c>
      <c r="F10" s="5">
        <v>0.79700000000000004</v>
      </c>
      <c r="G10" s="4">
        <v>98</v>
      </c>
      <c r="H10" s="4" t="s">
        <v>25</v>
      </c>
      <c r="I10" s="4">
        <v>6</v>
      </c>
      <c r="J10" s="4">
        <v>1</v>
      </c>
      <c r="K10" s="4">
        <v>0</v>
      </c>
      <c r="L10" s="4">
        <v>7</v>
      </c>
    </row>
    <row r="11" spans="1:12" x14ac:dyDescent="0.25">
      <c r="A11" s="2">
        <v>10</v>
      </c>
      <c r="B11" s="2" t="s">
        <v>35</v>
      </c>
      <c r="C11" s="2" t="s">
        <v>31</v>
      </c>
      <c r="D11" s="2" t="s">
        <v>17</v>
      </c>
      <c r="E11" s="2">
        <v>516</v>
      </c>
      <c r="F11" s="3">
        <v>0.93600000000000005</v>
      </c>
      <c r="G11" s="2">
        <v>33</v>
      </c>
      <c r="H11" s="2" t="s">
        <v>18</v>
      </c>
      <c r="I11" s="2">
        <v>0</v>
      </c>
      <c r="J11" s="2">
        <v>0</v>
      </c>
      <c r="K11" s="2">
        <v>4</v>
      </c>
      <c r="L11" s="2">
        <v>4</v>
      </c>
    </row>
    <row r="12" spans="1:12" x14ac:dyDescent="0.25">
      <c r="A12" s="2">
        <v>11</v>
      </c>
      <c r="B12" s="2" t="s">
        <v>36</v>
      </c>
      <c r="C12" s="2" t="s">
        <v>37</v>
      </c>
      <c r="D12" s="2" t="s">
        <v>38</v>
      </c>
      <c r="E12" s="2">
        <v>513</v>
      </c>
      <c r="F12" s="3">
        <v>0.75</v>
      </c>
      <c r="G12" s="2">
        <v>128</v>
      </c>
      <c r="H12" s="2" t="s">
        <v>15</v>
      </c>
      <c r="I12" s="2">
        <v>6</v>
      </c>
      <c r="J12" s="2">
        <v>0</v>
      </c>
      <c r="K12" s="2">
        <v>0</v>
      </c>
      <c r="L12" s="2">
        <v>6</v>
      </c>
    </row>
    <row r="13" spans="1:12" x14ac:dyDescent="0.25">
      <c r="A13" s="2">
        <v>12</v>
      </c>
      <c r="B13" s="2" t="s">
        <v>39</v>
      </c>
      <c r="C13" s="2" t="s">
        <v>37</v>
      </c>
      <c r="D13" s="2" t="s">
        <v>40</v>
      </c>
      <c r="E13" s="2">
        <v>607</v>
      </c>
      <c r="F13" s="3">
        <v>0.92900000000000005</v>
      </c>
      <c r="G13" s="2">
        <v>43</v>
      </c>
      <c r="H13" s="2" t="s">
        <v>15</v>
      </c>
      <c r="I13" s="2">
        <v>6</v>
      </c>
      <c r="J13" s="2">
        <v>0</v>
      </c>
      <c r="K13" s="2">
        <v>0</v>
      </c>
      <c r="L13" s="2">
        <v>6</v>
      </c>
    </row>
    <row r="14" spans="1:12" x14ac:dyDescent="0.25">
      <c r="A14" s="2">
        <v>13</v>
      </c>
      <c r="B14" s="2" t="s">
        <v>41</v>
      </c>
      <c r="C14" s="2" t="s">
        <v>37</v>
      </c>
      <c r="D14" s="2" t="s">
        <v>17</v>
      </c>
      <c r="E14" s="2">
        <v>715</v>
      </c>
      <c r="F14" s="3">
        <v>0.95099999999999996</v>
      </c>
      <c r="G14" s="2">
        <v>35</v>
      </c>
      <c r="H14" s="2" t="s">
        <v>18</v>
      </c>
      <c r="I14" s="2">
        <v>0</v>
      </c>
      <c r="J14" s="2">
        <v>0</v>
      </c>
      <c r="K14" s="2">
        <v>4</v>
      </c>
      <c r="L14" s="2">
        <v>4</v>
      </c>
    </row>
    <row r="15" spans="1:12" x14ac:dyDescent="0.25">
      <c r="A15" s="2">
        <v>14</v>
      </c>
      <c r="B15" s="2" t="s">
        <v>42</v>
      </c>
      <c r="C15" s="2" t="s">
        <v>37</v>
      </c>
      <c r="D15" s="2" t="s">
        <v>43</v>
      </c>
      <c r="E15" s="2">
        <v>585</v>
      </c>
      <c r="F15" s="3">
        <v>0.92100000000000004</v>
      </c>
      <c r="G15" s="2">
        <v>46</v>
      </c>
      <c r="H15" s="2" t="s">
        <v>44</v>
      </c>
      <c r="I15" s="2">
        <v>0</v>
      </c>
      <c r="J15" s="2">
        <v>3</v>
      </c>
      <c r="K15" s="2">
        <v>0</v>
      </c>
      <c r="L15" s="2">
        <v>3</v>
      </c>
    </row>
    <row r="16" spans="1:12" x14ac:dyDescent="0.25">
      <c r="A16" s="2">
        <v>15</v>
      </c>
      <c r="B16" s="2" t="s">
        <v>45</v>
      </c>
      <c r="C16" s="2" t="s">
        <v>37</v>
      </c>
      <c r="D16" s="2" t="s">
        <v>29</v>
      </c>
      <c r="E16" s="2">
        <v>314</v>
      </c>
      <c r="F16" s="3">
        <v>0.77100000000000002</v>
      </c>
      <c r="G16" s="2">
        <v>72</v>
      </c>
      <c r="H16" s="2" t="s">
        <v>15</v>
      </c>
      <c r="I16" s="2">
        <v>6</v>
      </c>
      <c r="J16" s="2">
        <v>0</v>
      </c>
      <c r="K16" s="2">
        <v>0</v>
      </c>
      <c r="L16" s="2">
        <v>6</v>
      </c>
    </row>
    <row r="17" spans="1:12" x14ac:dyDescent="0.25">
      <c r="A17" s="2">
        <v>16</v>
      </c>
      <c r="B17" s="2" t="s">
        <v>46</v>
      </c>
      <c r="C17" s="2" t="s">
        <v>37</v>
      </c>
      <c r="D17" s="2" t="s">
        <v>43</v>
      </c>
      <c r="E17" s="2">
        <v>998</v>
      </c>
      <c r="F17" s="3">
        <v>0.82199999999999995</v>
      </c>
      <c r="G17" s="2">
        <v>178</v>
      </c>
      <c r="H17" s="2" t="s">
        <v>44</v>
      </c>
      <c r="I17" s="2">
        <v>0</v>
      </c>
      <c r="J17" s="2">
        <v>3</v>
      </c>
      <c r="K17" s="2">
        <v>0</v>
      </c>
      <c r="L17" s="2">
        <v>3</v>
      </c>
    </row>
    <row r="18" spans="1:12" x14ac:dyDescent="0.25">
      <c r="A18" s="2">
        <v>17</v>
      </c>
      <c r="B18" s="2" t="s">
        <v>47</v>
      </c>
      <c r="C18" s="2" t="s">
        <v>48</v>
      </c>
      <c r="D18" s="2" t="s">
        <v>49</v>
      </c>
      <c r="E18" s="2">
        <v>394</v>
      </c>
      <c r="F18" s="3">
        <v>0.95699999999999996</v>
      </c>
      <c r="G18" s="2">
        <v>17</v>
      </c>
      <c r="H18" s="2" t="s">
        <v>15</v>
      </c>
      <c r="I18" s="2">
        <v>6</v>
      </c>
      <c r="J18" s="2">
        <v>0</v>
      </c>
      <c r="K18" s="2">
        <v>0</v>
      </c>
      <c r="L18" s="2">
        <v>6</v>
      </c>
    </row>
    <row r="19" spans="1:12" x14ac:dyDescent="0.25">
      <c r="A19" s="4">
        <v>18</v>
      </c>
      <c r="B19" s="4" t="s">
        <v>50</v>
      </c>
      <c r="C19" s="4" t="s">
        <v>48</v>
      </c>
      <c r="D19" s="4" t="s">
        <v>51</v>
      </c>
      <c r="E19" s="4">
        <v>153</v>
      </c>
      <c r="F19" s="5">
        <v>0.81699999999999995</v>
      </c>
      <c r="G19" s="4">
        <v>28</v>
      </c>
      <c r="H19" s="4" t="s">
        <v>52</v>
      </c>
      <c r="I19" s="4">
        <v>6</v>
      </c>
      <c r="J19" s="4">
        <v>3</v>
      </c>
      <c r="K19" s="4">
        <v>4</v>
      </c>
      <c r="L19" s="4">
        <v>13</v>
      </c>
    </row>
    <row r="20" spans="1:12" x14ac:dyDescent="0.25">
      <c r="A20" s="2">
        <v>19</v>
      </c>
      <c r="B20" s="2" t="s">
        <v>53</v>
      </c>
      <c r="C20" s="2" t="s">
        <v>54</v>
      </c>
      <c r="D20" s="2" t="s">
        <v>55</v>
      </c>
      <c r="E20" s="2">
        <v>784</v>
      </c>
      <c r="F20" s="3">
        <v>0.879</v>
      </c>
      <c r="G20" s="2">
        <v>95</v>
      </c>
      <c r="H20" s="2" t="s">
        <v>15</v>
      </c>
      <c r="I20" s="2">
        <v>6</v>
      </c>
      <c r="J20" s="2">
        <v>0</v>
      </c>
      <c r="K20" s="2">
        <v>0</v>
      </c>
      <c r="L20" s="2">
        <v>6</v>
      </c>
    </row>
    <row r="21" spans="1:12" x14ac:dyDescent="0.25">
      <c r="A21" s="2">
        <v>20</v>
      </c>
      <c r="B21" s="2" t="s">
        <v>56</v>
      </c>
      <c r="C21" s="2" t="s">
        <v>54</v>
      </c>
      <c r="D21" s="2" t="s">
        <v>43</v>
      </c>
      <c r="E21" s="2">
        <v>645</v>
      </c>
      <c r="F21" s="3">
        <v>0.90900000000000003</v>
      </c>
      <c r="G21" s="2">
        <v>59</v>
      </c>
      <c r="H21" s="2" t="s">
        <v>44</v>
      </c>
      <c r="I21" s="2">
        <v>0</v>
      </c>
      <c r="J21" s="2">
        <v>3</v>
      </c>
      <c r="K21" s="2">
        <v>0</v>
      </c>
      <c r="L21" s="2">
        <v>3</v>
      </c>
    </row>
    <row r="22" spans="1:12" x14ac:dyDescent="0.25">
      <c r="A22" s="2">
        <v>21</v>
      </c>
      <c r="B22" s="2" t="s">
        <v>57</v>
      </c>
      <c r="C22" s="2" t="s">
        <v>54</v>
      </c>
      <c r="D22" s="2" t="s">
        <v>58</v>
      </c>
      <c r="E22" s="2">
        <v>509</v>
      </c>
      <c r="F22" s="3">
        <v>0.93300000000000005</v>
      </c>
      <c r="G22" s="2">
        <v>34</v>
      </c>
      <c r="H22" s="2" t="s">
        <v>15</v>
      </c>
      <c r="I22" s="2">
        <v>6</v>
      </c>
      <c r="J22" s="2">
        <v>0</v>
      </c>
      <c r="K22" s="2">
        <v>0</v>
      </c>
      <c r="L22" s="2">
        <v>6</v>
      </c>
    </row>
    <row r="23" spans="1:12" x14ac:dyDescent="0.25">
      <c r="A23" s="2">
        <v>22</v>
      </c>
      <c r="B23" s="2" t="s">
        <v>59</v>
      </c>
      <c r="C23" s="2" t="s">
        <v>54</v>
      </c>
      <c r="D23" s="2" t="s">
        <v>38</v>
      </c>
      <c r="E23" s="2">
        <v>587</v>
      </c>
      <c r="F23" s="3">
        <v>0.91300000000000003</v>
      </c>
      <c r="G23" s="2">
        <v>51</v>
      </c>
      <c r="H23" s="2" t="s">
        <v>15</v>
      </c>
      <c r="I23" s="2">
        <v>6</v>
      </c>
      <c r="J23" s="2">
        <v>0</v>
      </c>
      <c r="K23" s="2">
        <v>0</v>
      </c>
      <c r="L23" s="2">
        <v>6</v>
      </c>
    </row>
    <row r="24" spans="1:12" x14ac:dyDescent="0.25">
      <c r="A24" s="2">
        <v>23</v>
      </c>
      <c r="B24" s="2" t="s">
        <v>60</v>
      </c>
      <c r="C24" s="2" t="s">
        <v>54</v>
      </c>
      <c r="D24" s="2" t="s">
        <v>43</v>
      </c>
      <c r="E24" s="2">
        <v>502</v>
      </c>
      <c r="F24" s="3">
        <v>0.90400000000000003</v>
      </c>
      <c r="G24" s="2">
        <v>48</v>
      </c>
      <c r="H24" s="2" t="s">
        <v>44</v>
      </c>
      <c r="I24" s="2">
        <v>0</v>
      </c>
      <c r="J24" s="2">
        <v>3</v>
      </c>
      <c r="K24" s="2">
        <v>0</v>
      </c>
      <c r="L24" s="2">
        <v>3</v>
      </c>
    </row>
    <row r="25" spans="1:12" x14ac:dyDescent="0.25">
      <c r="A25" s="2">
        <v>24</v>
      </c>
      <c r="B25" s="2" t="s">
        <v>61</v>
      </c>
      <c r="C25" s="2" t="s">
        <v>54</v>
      </c>
      <c r="D25" s="2" t="s">
        <v>62</v>
      </c>
      <c r="E25" s="2">
        <v>880</v>
      </c>
      <c r="F25" s="3">
        <v>0.90100000000000002</v>
      </c>
      <c r="G25" s="2">
        <v>87</v>
      </c>
      <c r="H25" s="2" t="s">
        <v>18</v>
      </c>
      <c r="I25" s="2">
        <v>0</v>
      </c>
      <c r="J25" s="2">
        <v>0</v>
      </c>
      <c r="K25" s="2">
        <v>1</v>
      </c>
      <c r="L25" s="2">
        <v>1</v>
      </c>
    </row>
    <row r="26" spans="1:12" x14ac:dyDescent="0.25">
      <c r="A26" s="2">
        <v>25</v>
      </c>
      <c r="B26" s="2" t="s">
        <v>63</v>
      </c>
      <c r="C26" s="2" t="s">
        <v>54</v>
      </c>
      <c r="D26" s="2" t="s">
        <v>64</v>
      </c>
      <c r="E26" s="2">
        <v>2350</v>
      </c>
      <c r="F26" s="3">
        <v>0.93600000000000005</v>
      </c>
      <c r="G26" s="2">
        <v>150</v>
      </c>
      <c r="H26" s="2" t="s">
        <v>18</v>
      </c>
      <c r="I26" s="2">
        <v>0</v>
      </c>
      <c r="J26" s="2">
        <v>0</v>
      </c>
      <c r="K26" s="2">
        <v>3</v>
      </c>
      <c r="L26" s="2">
        <v>3</v>
      </c>
    </row>
    <row r="27" spans="1:12" x14ac:dyDescent="0.25">
      <c r="A27" s="2">
        <v>26</v>
      </c>
      <c r="B27" s="2" t="s">
        <v>65</v>
      </c>
      <c r="C27" s="2" t="s">
        <v>54</v>
      </c>
      <c r="D27" s="2" t="s">
        <v>66</v>
      </c>
      <c r="E27" s="2">
        <v>510</v>
      </c>
      <c r="F27" s="3">
        <v>0.89200000000000002</v>
      </c>
      <c r="G27" s="2">
        <v>55</v>
      </c>
      <c r="H27" s="2" t="s">
        <v>15</v>
      </c>
      <c r="I27" s="2">
        <v>6</v>
      </c>
      <c r="J27" s="2">
        <v>0</v>
      </c>
      <c r="K27" s="2">
        <v>0</v>
      </c>
      <c r="L27" s="2">
        <v>6</v>
      </c>
    </row>
    <row r="28" spans="1:12" x14ac:dyDescent="0.25">
      <c r="A28" s="2">
        <v>27</v>
      </c>
      <c r="B28" s="2" t="s">
        <v>67</v>
      </c>
      <c r="C28" s="2" t="s">
        <v>68</v>
      </c>
      <c r="D28" s="2" t="s">
        <v>43</v>
      </c>
      <c r="E28" s="2">
        <v>713</v>
      </c>
      <c r="F28" s="3">
        <v>0.89200000000000002</v>
      </c>
      <c r="G28" s="2">
        <v>77</v>
      </c>
      <c r="H28" s="2" t="s">
        <v>44</v>
      </c>
      <c r="I28" s="2">
        <v>0</v>
      </c>
      <c r="J28" s="2">
        <v>3</v>
      </c>
      <c r="K28" s="2">
        <v>0</v>
      </c>
      <c r="L28" s="2">
        <v>3</v>
      </c>
    </row>
    <row r="29" spans="1:12" x14ac:dyDescent="0.25">
      <c r="A29" s="2">
        <v>28</v>
      </c>
      <c r="B29" s="2" t="s">
        <v>69</v>
      </c>
      <c r="C29" s="2" t="s">
        <v>70</v>
      </c>
      <c r="D29" s="2" t="s">
        <v>43</v>
      </c>
      <c r="E29" s="2">
        <v>1114</v>
      </c>
      <c r="F29" s="3">
        <v>0.75</v>
      </c>
      <c r="G29" s="2">
        <v>278</v>
      </c>
      <c r="H29" s="2" t="s">
        <v>44</v>
      </c>
      <c r="I29" s="2">
        <v>0</v>
      </c>
      <c r="J29" s="2">
        <v>3</v>
      </c>
      <c r="K29" s="2">
        <v>0</v>
      </c>
      <c r="L29" s="2">
        <v>3</v>
      </c>
    </row>
    <row r="30" spans="1:12" x14ac:dyDescent="0.25">
      <c r="A30" s="4">
        <v>29</v>
      </c>
      <c r="B30" s="4" t="s">
        <v>71</v>
      </c>
      <c r="C30" s="4" t="s">
        <v>70</v>
      </c>
      <c r="D30" s="4" t="s">
        <v>72</v>
      </c>
      <c r="E30" s="4">
        <v>1012</v>
      </c>
      <c r="F30" s="5">
        <v>0.873</v>
      </c>
      <c r="G30" s="4">
        <v>129</v>
      </c>
      <c r="H30" s="4" t="s">
        <v>73</v>
      </c>
      <c r="I30" s="4">
        <v>0</v>
      </c>
      <c r="J30" s="4">
        <v>2</v>
      </c>
      <c r="K30" s="4">
        <v>4</v>
      </c>
      <c r="L30" s="4">
        <v>6</v>
      </c>
    </row>
    <row r="31" spans="1:12" x14ac:dyDescent="0.25">
      <c r="A31" s="2">
        <v>30</v>
      </c>
      <c r="B31" s="2" t="s">
        <v>74</v>
      </c>
      <c r="C31" s="2" t="s">
        <v>70</v>
      </c>
      <c r="D31" s="2" t="s">
        <v>75</v>
      </c>
      <c r="E31" s="2">
        <v>456</v>
      </c>
      <c r="F31" s="3">
        <v>0.78900000000000003</v>
      </c>
      <c r="G31" s="2">
        <v>96</v>
      </c>
      <c r="H31" s="2" t="s">
        <v>15</v>
      </c>
      <c r="I31" s="2">
        <v>4</v>
      </c>
      <c r="J31" s="2">
        <v>0</v>
      </c>
      <c r="K31" s="2">
        <v>0</v>
      </c>
      <c r="L31" s="2">
        <v>4</v>
      </c>
    </row>
    <row r="32" spans="1:12" x14ac:dyDescent="0.25">
      <c r="A32" s="4">
        <v>31</v>
      </c>
      <c r="B32" s="4" t="s">
        <v>76</v>
      </c>
      <c r="C32" s="4" t="s">
        <v>70</v>
      </c>
      <c r="D32" s="4" t="s">
        <v>77</v>
      </c>
      <c r="E32" s="4">
        <v>365</v>
      </c>
      <c r="F32" s="5">
        <v>0.82699999999999996</v>
      </c>
      <c r="G32" s="4">
        <v>63</v>
      </c>
      <c r="H32" s="4" t="s">
        <v>25</v>
      </c>
      <c r="I32" s="4">
        <v>2</v>
      </c>
      <c r="J32" s="4">
        <v>1</v>
      </c>
      <c r="K32" s="4">
        <v>0</v>
      </c>
      <c r="L32" s="4">
        <v>3</v>
      </c>
    </row>
    <row r="33" spans="1:12" x14ac:dyDescent="0.25">
      <c r="A33" s="4">
        <v>32</v>
      </c>
      <c r="B33" s="4" t="s">
        <v>78</v>
      </c>
      <c r="C33" s="4" t="s">
        <v>70</v>
      </c>
      <c r="D33" s="4" t="s">
        <v>79</v>
      </c>
      <c r="E33" s="4">
        <v>391</v>
      </c>
      <c r="F33" s="5">
        <v>0.81799999999999995</v>
      </c>
      <c r="G33" s="4">
        <v>71</v>
      </c>
      <c r="H33" s="4" t="s">
        <v>25</v>
      </c>
      <c r="I33" s="4">
        <v>6</v>
      </c>
      <c r="J33" s="4">
        <v>1</v>
      </c>
      <c r="K33" s="4">
        <v>0</v>
      </c>
      <c r="L33" s="4">
        <v>7</v>
      </c>
    </row>
    <row r="34" spans="1:12" x14ac:dyDescent="0.25">
      <c r="A34" s="2">
        <v>33</v>
      </c>
      <c r="B34" s="2" t="s">
        <v>80</v>
      </c>
      <c r="C34" s="2" t="s">
        <v>70</v>
      </c>
      <c r="D34" s="2" t="s">
        <v>14</v>
      </c>
      <c r="E34" s="2">
        <v>653</v>
      </c>
      <c r="F34" s="3">
        <v>0.83</v>
      </c>
      <c r="G34" s="2">
        <v>111</v>
      </c>
      <c r="H34" s="2" t="s">
        <v>15</v>
      </c>
      <c r="I34" s="2">
        <v>6</v>
      </c>
      <c r="J34" s="2">
        <v>0</v>
      </c>
      <c r="K34" s="2">
        <v>0</v>
      </c>
      <c r="L34" s="2">
        <v>6</v>
      </c>
    </row>
    <row r="35" spans="1:12" x14ac:dyDescent="0.25">
      <c r="A35" s="2">
        <v>34</v>
      </c>
      <c r="B35" s="2" t="s">
        <v>81</v>
      </c>
      <c r="C35" s="2" t="s">
        <v>70</v>
      </c>
      <c r="D35" s="2" t="s">
        <v>82</v>
      </c>
      <c r="E35" s="2">
        <v>415</v>
      </c>
      <c r="F35" s="3">
        <v>0.81</v>
      </c>
      <c r="G35" s="2">
        <v>79</v>
      </c>
      <c r="H35" s="2" t="s">
        <v>44</v>
      </c>
      <c r="I35" s="2">
        <v>0</v>
      </c>
      <c r="J35" s="2">
        <v>2</v>
      </c>
      <c r="K35" s="2">
        <v>0</v>
      </c>
      <c r="L35" s="2">
        <v>2</v>
      </c>
    </row>
    <row r="36" spans="1:12" x14ac:dyDescent="0.25">
      <c r="A36" s="2">
        <v>35</v>
      </c>
      <c r="B36" s="2" t="s">
        <v>83</v>
      </c>
      <c r="C36" s="2" t="s">
        <v>84</v>
      </c>
      <c r="D36" s="2" t="s">
        <v>85</v>
      </c>
      <c r="E36" s="2">
        <v>218</v>
      </c>
      <c r="F36" s="3">
        <v>0.89400000000000002</v>
      </c>
      <c r="G36" s="2">
        <v>23</v>
      </c>
      <c r="H36" s="2" t="s">
        <v>44</v>
      </c>
      <c r="I36" s="2">
        <v>0</v>
      </c>
      <c r="J36" s="2">
        <v>2</v>
      </c>
      <c r="K36" s="2">
        <v>0</v>
      </c>
      <c r="L36" s="2">
        <v>2</v>
      </c>
    </row>
    <row r="37" spans="1:12" x14ac:dyDescent="0.25">
      <c r="A37" s="2">
        <v>36</v>
      </c>
      <c r="B37" s="2" t="s">
        <v>86</v>
      </c>
      <c r="C37" s="2" t="s">
        <v>84</v>
      </c>
      <c r="D37" s="2" t="s">
        <v>87</v>
      </c>
      <c r="E37" s="2">
        <v>448</v>
      </c>
      <c r="F37" s="3">
        <v>0.86599999999999999</v>
      </c>
      <c r="G37" s="2">
        <v>60</v>
      </c>
      <c r="H37" s="2" t="s">
        <v>15</v>
      </c>
      <c r="I37" s="2">
        <v>6</v>
      </c>
      <c r="J37" s="2">
        <v>0</v>
      </c>
      <c r="K37" s="2">
        <v>0</v>
      </c>
      <c r="L37" s="2">
        <v>6</v>
      </c>
    </row>
    <row r="38" spans="1:12" x14ac:dyDescent="0.25">
      <c r="A38" s="2">
        <v>37</v>
      </c>
      <c r="B38" s="2" t="s">
        <v>88</v>
      </c>
      <c r="C38" s="2" t="s">
        <v>89</v>
      </c>
      <c r="D38" s="2" t="s">
        <v>43</v>
      </c>
      <c r="E38" s="2">
        <v>533</v>
      </c>
      <c r="F38" s="3">
        <v>0.88</v>
      </c>
      <c r="G38" s="2">
        <v>64</v>
      </c>
      <c r="H38" s="2" t="s">
        <v>44</v>
      </c>
      <c r="I38" s="2">
        <v>0</v>
      </c>
      <c r="J38" s="2">
        <v>3</v>
      </c>
      <c r="K38" s="2">
        <v>0</v>
      </c>
      <c r="L38" s="2">
        <v>3</v>
      </c>
    </row>
    <row r="39" spans="1:12" x14ac:dyDescent="0.25">
      <c r="A39" s="2">
        <v>38</v>
      </c>
      <c r="B39" s="2" t="s">
        <v>90</v>
      </c>
      <c r="C39" s="2" t="s">
        <v>89</v>
      </c>
      <c r="D39" s="2" t="s">
        <v>91</v>
      </c>
      <c r="E39" s="2">
        <v>693</v>
      </c>
      <c r="F39" s="3">
        <v>0.88600000000000001</v>
      </c>
      <c r="G39" s="2">
        <v>79</v>
      </c>
      <c r="H39" s="2" t="s">
        <v>15</v>
      </c>
      <c r="I39" s="2">
        <v>6</v>
      </c>
      <c r="J39" s="2">
        <v>0</v>
      </c>
      <c r="K39" s="2">
        <v>0</v>
      </c>
      <c r="L39" s="2">
        <v>6</v>
      </c>
    </row>
    <row r="40" spans="1:12" x14ac:dyDescent="0.25">
      <c r="A40" s="2">
        <v>39</v>
      </c>
      <c r="B40" s="2" t="s">
        <v>92</v>
      </c>
      <c r="C40" s="2" t="s">
        <v>93</v>
      </c>
      <c r="D40" s="2" t="s">
        <v>29</v>
      </c>
      <c r="E40" s="2">
        <v>314</v>
      </c>
      <c r="F40" s="3">
        <v>0.89500000000000002</v>
      </c>
      <c r="G40" s="2">
        <v>33</v>
      </c>
      <c r="H40" s="2" t="s">
        <v>15</v>
      </c>
      <c r="I40" s="2">
        <v>6</v>
      </c>
      <c r="J40" s="2">
        <v>0</v>
      </c>
      <c r="K40" s="2">
        <v>0</v>
      </c>
      <c r="L40" s="2">
        <v>6</v>
      </c>
    </row>
    <row r="41" spans="1:12" x14ac:dyDescent="0.25">
      <c r="A41" s="2">
        <v>40</v>
      </c>
      <c r="B41" s="2" t="s">
        <v>94</v>
      </c>
      <c r="C41" s="2" t="s">
        <v>95</v>
      </c>
      <c r="D41" s="2" t="s">
        <v>29</v>
      </c>
      <c r="E41" s="2">
        <v>633</v>
      </c>
      <c r="F41" s="3">
        <v>0.92900000000000005</v>
      </c>
      <c r="G41" s="2">
        <v>45</v>
      </c>
      <c r="H41" s="2" t="s">
        <v>15</v>
      </c>
      <c r="I41" s="2">
        <v>6</v>
      </c>
      <c r="J41" s="2">
        <v>0</v>
      </c>
      <c r="K41" s="2">
        <v>0</v>
      </c>
      <c r="L41" s="2">
        <v>6</v>
      </c>
    </row>
    <row r="42" spans="1:12" x14ac:dyDescent="0.25">
      <c r="A42" s="2">
        <v>41</v>
      </c>
      <c r="B42" s="2" t="s">
        <v>96</v>
      </c>
      <c r="C42" s="2" t="s">
        <v>95</v>
      </c>
      <c r="D42" s="2" t="s">
        <v>43</v>
      </c>
      <c r="E42" s="2">
        <v>764</v>
      </c>
      <c r="F42" s="3">
        <v>0.93100000000000005</v>
      </c>
      <c r="G42" s="2">
        <v>53</v>
      </c>
      <c r="H42" s="2" t="s">
        <v>44</v>
      </c>
      <c r="I42" s="2">
        <v>0</v>
      </c>
      <c r="J42" s="2">
        <v>3</v>
      </c>
      <c r="K42" s="2">
        <v>0</v>
      </c>
      <c r="L42" s="2">
        <v>3</v>
      </c>
    </row>
    <row r="43" spans="1:12" x14ac:dyDescent="0.25">
      <c r="A43" s="2">
        <v>42</v>
      </c>
      <c r="B43" s="2" t="s">
        <v>97</v>
      </c>
      <c r="C43" s="2" t="s">
        <v>95</v>
      </c>
      <c r="D43" s="2" t="s">
        <v>58</v>
      </c>
      <c r="E43" s="2">
        <v>764</v>
      </c>
      <c r="F43" s="3">
        <v>0.89400000000000002</v>
      </c>
      <c r="G43" s="2">
        <v>81</v>
      </c>
      <c r="H43" s="2" t="s">
        <v>15</v>
      </c>
      <c r="I43" s="2">
        <v>6</v>
      </c>
      <c r="J43" s="2">
        <v>0</v>
      </c>
      <c r="K43" s="2">
        <v>0</v>
      </c>
      <c r="L43" s="2">
        <v>6</v>
      </c>
    </row>
    <row r="44" spans="1:12" x14ac:dyDescent="0.25">
      <c r="A44" s="2">
        <v>43</v>
      </c>
      <c r="B44" s="2" t="s">
        <v>98</v>
      </c>
      <c r="C44" s="2" t="s">
        <v>99</v>
      </c>
      <c r="D44" s="2" t="s">
        <v>38</v>
      </c>
      <c r="E44" s="2">
        <v>429</v>
      </c>
      <c r="F44" s="3">
        <v>0.95099999999999996</v>
      </c>
      <c r="G44" s="2">
        <v>21</v>
      </c>
      <c r="H44" s="2" t="s">
        <v>15</v>
      </c>
      <c r="I44" s="2">
        <v>6</v>
      </c>
      <c r="J44" s="2">
        <v>0</v>
      </c>
      <c r="K44" s="2">
        <v>0</v>
      </c>
      <c r="L44" s="2">
        <v>6</v>
      </c>
    </row>
    <row r="45" spans="1:12" x14ac:dyDescent="0.25">
      <c r="A45" s="2">
        <v>44</v>
      </c>
      <c r="B45" s="2" t="s">
        <v>100</v>
      </c>
      <c r="C45" s="2" t="s">
        <v>101</v>
      </c>
      <c r="D45" s="2" t="s">
        <v>102</v>
      </c>
      <c r="E45" s="2">
        <v>498</v>
      </c>
      <c r="F45" s="3">
        <v>0.93400000000000005</v>
      </c>
      <c r="G45" s="2">
        <v>33</v>
      </c>
      <c r="H45" s="2" t="s">
        <v>15</v>
      </c>
      <c r="I45" s="2">
        <v>6</v>
      </c>
      <c r="J45" s="2">
        <v>0</v>
      </c>
      <c r="K45" s="2">
        <v>0</v>
      </c>
      <c r="L45" s="2">
        <v>6</v>
      </c>
    </row>
    <row r="46" spans="1:12" x14ac:dyDescent="0.25">
      <c r="A46" s="2">
        <v>45</v>
      </c>
      <c r="B46" s="2" t="s">
        <v>103</v>
      </c>
      <c r="C46" s="2" t="s">
        <v>104</v>
      </c>
      <c r="D46" s="2" t="s">
        <v>105</v>
      </c>
      <c r="E46" s="2">
        <v>645</v>
      </c>
      <c r="F46" s="3">
        <v>0.878</v>
      </c>
      <c r="G46" s="2">
        <v>79</v>
      </c>
      <c r="H46" s="2" t="s">
        <v>15</v>
      </c>
      <c r="I46" s="2">
        <v>6</v>
      </c>
      <c r="J46" s="2">
        <v>0</v>
      </c>
      <c r="K46" s="2">
        <v>0</v>
      </c>
      <c r="L46" s="2">
        <v>6</v>
      </c>
    </row>
    <row r="47" spans="1:12" x14ac:dyDescent="0.25">
      <c r="A47" s="2">
        <v>46</v>
      </c>
      <c r="B47" s="2" t="s">
        <v>106</v>
      </c>
      <c r="C47" s="2" t="s">
        <v>107</v>
      </c>
      <c r="D47" s="2" t="s">
        <v>62</v>
      </c>
      <c r="E47" s="2">
        <v>906</v>
      </c>
      <c r="F47" s="3">
        <v>0.93500000000000005</v>
      </c>
      <c r="G47" s="2">
        <v>59</v>
      </c>
      <c r="H47" s="2" t="s">
        <v>18</v>
      </c>
      <c r="I47" s="2">
        <v>0</v>
      </c>
      <c r="J47" s="2">
        <v>0</v>
      </c>
      <c r="K47" s="2">
        <v>1</v>
      </c>
      <c r="L47" s="2">
        <v>1</v>
      </c>
    </row>
    <row r="48" spans="1:12" x14ac:dyDescent="0.25">
      <c r="A48" s="2">
        <v>47</v>
      </c>
      <c r="B48" s="2" t="s">
        <v>108</v>
      </c>
      <c r="C48" s="2" t="s">
        <v>107</v>
      </c>
      <c r="D48" s="2" t="s">
        <v>109</v>
      </c>
      <c r="E48" s="2">
        <v>2870</v>
      </c>
      <c r="F48" s="3">
        <v>0.95899999999999996</v>
      </c>
      <c r="G48" s="2">
        <v>118</v>
      </c>
      <c r="H48" s="2" t="s">
        <v>18</v>
      </c>
      <c r="I48" s="2">
        <v>0</v>
      </c>
      <c r="J48" s="2">
        <v>0</v>
      </c>
      <c r="K48" s="2">
        <v>3</v>
      </c>
      <c r="L48" s="2">
        <v>3</v>
      </c>
    </row>
    <row r="49" spans="1:12" x14ac:dyDescent="0.25">
      <c r="A49" s="2">
        <v>48</v>
      </c>
      <c r="B49" s="2" t="s">
        <v>110</v>
      </c>
      <c r="C49" s="2" t="s">
        <v>107</v>
      </c>
      <c r="D49" s="2" t="s">
        <v>43</v>
      </c>
      <c r="E49" s="2">
        <v>779</v>
      </c>
      <c r="F49" s="3">
        <v>0.94199999999999995</v>
      </c>
      <c r="G49" s="2">
        <v>45</v>
      </c>
      <c r="H49" s="2" t="s">
        <v>44</v>
      </c>
      <c r="I49" s="2">
        <v>0</v>
      </c>
      <c r="J49" s="2">
        <v>3</v>
      </c>
      <c r="K49" s="2">
        <v>0</v>
      </c>
      <c r="L49" s="2">
        <v>3</v>
      </c>
    </row>
    <row r="50" spans="1:12" x14ac:dyDescent="0.25">
      <c r="A50" s="2">
        <v>49</v>
      </c>
      <c r="B50" s="2" t="s">
        <v>111</v>
      </c>
      <c r="C50" s="2" t="s">
        <v>107</v>
      </c>
      <c r="D50" s="2" t="s">
        <v>27</v>
      </c>
      <c r="E50" s="2">
        <v>873</v>
      </c>
      <c r="F50" s="3">
        <v>0.83699999999999997</v>
      </c>
      <c r="G50" s="2">
        <v>142</v>
      </c>
      <c r="H50" s="2" t="s">
        <v>15</v>
      </c>
      <c r="I50" s="2">
        <v>6</v>
      </c>
      <c r="J50" s="2">
        <v>0</v>
      </c>
      <c r="K50" s="2">
        <v>0</v>
      </c>
      <c r="L50" s="2">
        <v>6</v>
      </c>
    </row>
    <row r="51" spans="1:12" x14ac:dyDescent="0.25">
      <c r="A51" s="2">
        <v>50</v>
      </c>
      <c r="B51" s="2" t="s">
        <v>112</v>
      </c>
      <c r="C51" s="2" t="s">
        <v>113</v>
      </c>
      <c r="D51" s="2" t="s">
        <v>114</v>
      </c>
      <c r="E51" s="2">
        <v>26</v>
      </c>
      <c r="F51" s="3">
        <v>1</v>
      </c>
      <c r="G51" s="2">
        <v>0</v>
      </c>
      <c r="H51" s="2" t="s">
        <v>15</v>
      </c>
      <c r="I51" s="2">
        <v>6</v>
      </c>
      <c r="J51" s="2">
        <v>0</v>
      </c>
      <c r="K51" s="2">
        <v>0</v>
      </c>
      <c r="L51" s="2">
        <v>6</v>
      </c>
    </row>
    <row r="52" spans="1:12" x14ac:dyDescent="0.25">
      <c r="A52" s="2">
        <v>51</v>
      </c>
      <c r="B52" s="2" t="s">
        <v>115</v>
      </c>
      <c r="C52" s="2" t="s">
        <v>116</v>
      </c>
      <c r="D52" s="2" t="s">
        <v>117</v>
      </c>
      <c r="E52" s="2">
        <v>395</v>
      </c>
      <c r="F52" s="3">
        <v>0.95699999999999996</v>
      </c>
      <c r="G52" s="2">
        <v>17</v>
      </c>
      <c r="H52" s="2" t="s">
        <v>15</v>
      </c>
      <c r="I52" s="2">
        <v>6</v>
      </c>
      <c r="J52" s="2">
        <v>0</v>
      </c>
      <c r="K52" s="2">
        <v>0</v>
      </c>
      <c r="L52" s="2">
        <v>6</v>
      </c>
    </row>
    <row r="53" spans="1:12" x14ac:dyDescent="0.25">
      <c r="A53" s="2">
        <v>52</v>
      </c>
      <c r="B53" s="2" t="s">
        <v>118</v>
      </c>
      <c r="C53" s="2" t="s">
        <v>116</v>
      </c>
      <c r="D53" s="2" t="s">
        <v>17</v>
      </c>
      <c r="E53" s="2">
        <v>875</v>
      </c>
      <c r="F53" s="3">
        <v>0.96699999999999997</v>
      </c>
      <c r="G53" s="2">
        <v>29</v>
      </c>
      <c r="H53" s="2" t="s">
        <v>18</v>
      </c>
      <c r="I53" s="2">
        <v>0</v>
      </c>
      <c r="J53" s="2">
        <v>0</v>
      </c>
      <c r="K53" s="2">
        <v>4</v>
      </c>
      <c r="L53" s="2">
        <v>4</v>
      </c>
    </row>
    <row r="54" spans="1:12" x14ac:dyDescent="0.25">
      <c r="A54" s="2">
        <v>53</v>
      </c>
      <c r="B54" s="2" t="s">
        <v>119</v>
      </c>
      <c r="C54" s="2" t="s">
        <v>116</v>
      </c>
      <c r="D54" s="2" t="s">
        <v>120</v>
      </c>
      <c r="E54" s="2">
        <v>339</v>
      </c>
      <c r="F54" s="3">
        <v>0.94699999999999995</v>
      </c>
      <c r="G54" s="2">
        <v>18</v>
      </c>
      <c r="H54" s="2" t="s">
        <v>15</v>
      </c>
      <c r="I54" s="2">
        <v>6</v>
      </c>
      <c r="J54" s="2">
        <v>0</v>
      </c>
      <c r="K54" s="2">
        <v>0</v>
      </c>
      <c r="L54" s="2">
        <v>6</v>
      </c>
    </row>
    <row r="55" spans="1:12" x14ac:dyDescent="0.25">
      <c r="A55" s="2">
        <v>54</v>
      </c>
      <c r="B55" s="2" t="s">
        <v>121</v>
      </c>
      <c r="C55" s="2" t="s">
        <v>116</v>
      </c>
      <c r="D55" s="2" t="s">
        <v>43</v>
      </c>
      <c r="E55" s="2">
        <v>640</v>
      </c>
      <c r="F55" s="3">
        <v>0.95</v>
      </c>
      <c r="G55" s="2">
        <v>32</v>
      </c>
      <c r="H55" s="2" t="s">
        <v>44</v>
      </c>
      <c r="I55" s="2">
        <v>0</v>
      </c>
      <c r="J55" s="2">
        <v>3</v>
      </c>
      <c r="K55" s="2">
        <v>0</v>
      </c>
      <c r="L55" s="2">
        <v>3</v>
      </c>
    </row>
    <row r="56" spans="1:12" x14ac:dyDescent="0.25">
      <c r="A56" s="4">
        <v>55</v>
      </c>
      <c r="B56" s="4" t="s">
        <v>122</v>
      </c>
      <c r="C56" s="4" t="s">
        <v>116</v>
      </c>
      <c r="D56" s="4" t="s">
        <v>123</v>
      </c>
      <c r="E56" s="4">
        <v>38</v>
      </c>
      <c r="F56" s="5">
        <v>0.92100000000000004</v>
      </c>
      <c r="G56" s="4">
        <v>3</v>
      </c>
      <c r="H56" s="4" t="s">
        <v>52</v>
      </c>
      <c r="I56" s="4">
        <v>6</v>
      </c>
      <c r="J56" s="4">
        <v>3</v>
      </c>
      <c r="K56" s="4">
        <v>4</v>
      </c>
      <c r="L56" s="4">
        <v>13</v>
      </c>
    </row>
    <row r="57" spans="1:12" x14ac:dyDescent="0.25">
      <c r="A57" s="2">
        <v>56</v>
      </c>
      <c r="B57" s="2" t="s">
        <v>124</v>
      </c>
      <c r="C57" s="2" t="s">
        <v>116</v>
      </c>
      <c r="D57" s="2" t="s">
        <v>43</v>
      </c>
      <c r="E57" s="2">
        <v>561</v>
      </c>
      <c r="F57" s="3">
        <v>0.97299999999999998</v>
      </c>
      <c r="G57" s="2">
        <v>15</v>
      </c>
      <c r="H57" s="2" t="s">
        <v>44</v>
      </c>
      <c r="I57" s="2">
        <v>0</v>
      </c>
      <c r="J57" s="2">
        <v>3</v>
      </c>
      <c r="K57" s="2">
        <v>0</v>
      </c>
      <c r="L57" s="2">
        <v>3</v>
      </c>
    </row>
    <row r="58" spans="1:12" x14ac:dyDescent="0.25">
      <c r="A58" s="2">
        <v>57</v>
      </c>
      <c r="B58" s="2" t="s">
        <v>125</v>
      </c>
      <c r="C58" s="2" t="s">
        <v>116</v>
      </c>
      <c r="D58" s="2" t="s">
        <v>120</v>
      </c>
      <c r="E58" s="2">
        <v>787</v>
      </c>
      <c r="F58" s="3">
        <v>0.93899999999999995</v>
      </c>
      <c r="G58" s="2">
        <v>48</v>
      </c>
      <c r="H58" s="2" t="s">
        <v>15</v>
      </c>
      <c r="I58" s="2">
        <v>6</v>
      </c>
      <c r="J58" s="2">
        <v>0</v>
      </c>
      <c r="K58" s="2">
        <v>0</v>
      </c>
      <c r="L58" s="2">
        <v>6</v>
      </c>
    </row>
    <row r="59" spans="1:12" x14ac:dyDescent="0.25">
      <c r="A59" s="2">
        <v>58</v>
      </c>
      <c r="B59" s="2" t="s">
        <v>126</v>
      </c>
      <c r="C59" s="2" t="s">
        <v>116</v>
      </c>
      <c r="D59" s="2" t="s">
        <v>127</v>
      </c>
      <c r="E59" s="2">
        <v>462</v>
      </c>
      <c r="F59" s="3">
        <v>0.877</v>
      </c>
      <c r="G59" s="2">
        <v>57</v>
      </c>
      <c r="H59" s="2" t="s">
        <v>15</v>
      </c>
      <c r="I59" s="2">
        <v>6</v>
      </c>
      <c r="J59" s="2">
        <v>0</v>
      </c>
      <c r="K59" s="2">
        <v>0</v>
      </c>
      <c r="L59" s="2">
        <v>6</v>
      </c>
    </row>
    <row r="60" spans="1:12" x14ac:dyDescent="0.25">
      <c r="A60" s="4">
        <v>59</v>
      </c>
      <c r="B60" s="4" t="s">
        <v>128</v>
      </c>
      <c r="C60" s="4" t="s">
        <v>116</v>
      </c>
      <c r="D60" s="4" t="s">
        <v>129</v>
      </c>
      <c r="E60" s="4">
        <v>55</v>
      </c>
      <c r="F60" s="5">
        <v>0.78200000000000003</v>
      </c>
      <c r="G60" s="4">
        <v>12</v>
      </c>
      <c r="H60" s="4" t="s">
        <v>25</v>
      </c>
      <c r="I60" s="4">
        <v>6</v>
      </c>
      <c r="J60" s="4">
        <v>3</v>
      </c>
      <c r="K60" s="4">
        <v>0</v>
      </c>
      <c r="L60" s="4">
        <v>9</v>
      </c>
    </row>
    <row r="61" spans="1:12" x14ac:dyDescent="0.25">
      <c r="A61" s="2">
        <v>60</v>
      </c>
      <c r="B61" s="2" t="s">
        <v>130</v>
      </c>
      <c r="C61" s="2" t="s">
        <v>116</v>
      </c>
      <c r="D61" s="2" t="s">
        <v>105</v>
      </c>
      <c r="E61" s="2">
        <v>839</v>
      </c>
      <c r="F61" s="3">
        <v>0.82499999999999996</v>
      </c>
      <c r="G61" s="2">
        <v>147</v>
      </c>
      <c r="H61" s="2" t="s">
        <v>15</v>
      </c>
      <c r="I61" s="2">
        <v>6</v>
      </c>
      <c r="J61" s="2">
        <v>0</v>
      </c>
      <c r="K61" s="2">
        <v>0</v>
      </c>
      <c r="L61" s="2">
        <v>6</v>
      </c>
    </row>
    <row r="62" spans="1:12" x14ac:dyDescent="0.25">
      <c r="A62" s="2">
        <v>61</v>
      </c>
      <c r="B62" s="2" t="s">
        <v>131</v>
      </c>
      <c r="C62" s="2" t="s">
        <v>116</v>
      </c>
      <c r="D62" s="2" t="s">
        <v>43</v>
      </c>
      <c r="E62" s="2">
        <v>341</v>
      </c>
      <c r="F62" s="3">
        <v>0.90300000000000002</v>
      </c>
      <c r="G62" s="2">
        <v>33</v>
      </c>
      <c r="H62" s="2" t="s">
        <v>44</v>
      </c>
      <c r="I62" s="2">
        <v>0</v>
      </c>
      <c r="J62" s="2">
        <v>3</v>
      </c>
      <c r="K62" s="2">
        <v>0</v>
      </c>
      <c r="L62" s="2">
        <v>3</v>
      </c>
    </row>
    <row r="63" spans="1:12" x14ac:dyDescent="0.25">
      <c r="A63" s="4">
        <v>62</v>
      </c>
      <c r="B63" s="4" t="s">
        <v>132</v>
      </c>
      <c r="C63" s="4" t="s">
        <v>116</v>
      </c>
      <c r="D63" s="4" t="s">
        <v>133</v>
      </c>
      <c r="E63" s="4">
        <v>607</v>
      </c>
      <c r="F63" s="5">
        <v>0.21299999999999999</v>
      </c>
      <c r="G63" s="4">
        <v>478</v>
      </c>
      <c r="H63" s="4" t="s">
        <v>25</v>
      </c>
      <c r="I63" s="4">
        <v>6</v>
      </c>
      <c r="J63" s="4">
        <v>3</v>
      </c>
      <c r="K63" s="4">
        <v>0</v>
      </c>
      <c r="L63" s="4">
        <v>9</v>
      </c>
    </row>
    <row r="64" spans="1:12" x14ac:dyDescent="0.25">
      <c r="A64" s="4">
        <v>63</v>
      </c>
      <c r="B64" s="4" t="s">
        <v>134</v>
      </c>
      <c r="C64" s="4" t="s">
        <v>116</v>
      </c>
      <c r="D64" s="4" t="s">
        <v>135</v>
      </c>
      <c r="E64" s="4">
        <v>415</v>
      </c>
      <c r="F64" s="5">
        <v>0.86499999999999999</v>
      </c>
      <c r="G64" s="4">
        <v>56</v>
      </c>
      <c r="H64" s="4" t="s">
        <v>25</v>
      </c>
      <c r="I64" s="4">
        <v>6</v>
      </c>
      <c r="J64" s="4">
        <v>3</v>
      </c>
      <c r="K64" s="4">
        <v>0</v>
      </c>
      <c r="L64" s="4">
        <v>9</v>
      </c>
    </row>
    <row r="65" spans="1:12" x14ac:dyDescent="0.25">
      <c r="A65" s="4">
        <v>64</v>
      </c>
      <c r="B65" s="4" t="s">
        <v>136</v>
      </c>
      <c r="C65" s="4" t="s">
        <v>116</v>
      </c>
      <c r="D65" s="4" t="s">
        <v>137</v>
      </c>
      <c r="E65" s="4">
        <v>1297</v>
      </c>
      <c r="F65" s="5">
        <v>0.87</v>
      </c>
      <c r="G65" s="4">
        <v>169</v>
      </c>
      <c r="H65" s="4" t="s">
        <v>52</v>
      </c>
      <c r="I65" s="4">
        <v>6</v>
      </c>
      <c r="J65" s="4">
        <v>3</v>
      </c>
      <c r="K65" s="4">
        <v>4</v>
      </c>
      <c r="L65" s="4">
        <v>13</v>
      </c>
    </row>
    <row r="66" spans="1:12" x14ac:dyDescent="0.25">
      <c r="A66" s="2">
        <v>65</v>
      </c>
      <c r="B66" s="2" t="s">
        <v>138</v>
      </c>
      <c r="C66" s="2" t="s">
        <v>116</v>
      </c>
      <c r="D66" s="2" t="s">
        <v>139</v>
      </c>
      <c r="E66" s="2">
        <v>507</v>
      </c>
      <c r="F66" s="3">
        <v>0.90900000000000003</v>
      </c>
      <c r="G66" s="2">
        <v>46</v>
      </c>
      <c r="H66" s="2" t="s">
        <v>15</v>
      </c>
      <c r="I66" s="2">
        <v>6</v>
      </c>
      <c r="J66" s="2">
        <v>0</v>
      </c>
      <c r="K66" s="2">
        <v>0</v>
      </c>
      <c r="L66" s="2">
        <v>6</v>
      </c>
    </row>
    <row r="67" spans="1:12" x14ac:dyDescent="0.25">
      <c r="A67" s="2">
        <v>66</v>
      </c>
      <c r="B67" s="2" t="s">
        <v>140</v>
      </c>
      <c r="C67" s="2" t="s">
        <v>116</v>
      </c>
      <c r="D67" s="2" t="s">
        <v>55</v>
      </c>
      <c r="E67" s="2">
        <v>367</v>
      </c>
      <c r="F67" s="3">
        <v>0.93700000000000006</v>
      </c>
      <c r="G67" s="2">
        <v>23</v>
      </c>
      <c r="H67" s="2" t="s">
        <v>15</v>
      </c>
      <c r="I67" s="2">
        <v>6</v>
      </c>
      <c r="J67" s="2">
        <v>0</v>
      </c>
      <c r="K67" s="2">
        <v>0</v>
      </c>
      <c r="L67" s="2">
        <v>6</v>
      </c>
    </row>
    <row r="68" spans="1:12" x14ac:dyDescent="0.25">
      <c r="A68" s="2">
        <v>67</v>
      </c>
      <c r="B68" s="2" t="s">
        <v>141</v>
      </c>
      <c r="C68" s="2" t="s">
        <v>116</v>
      </c>
      <c r="D68" s="2" t="s">
        <v>142</v>
      </c>
      <c r="E68" s="2">
        <v>11</v>
      </c>
      <c r="F68" s="3">
        <v>0.90900000000000003</v>
      </c>
      <c r="G68" s="2">
        <v>1</v>
      </c>
      <c r="H68" s="2" t="s">
        <v>15</v>
      </c>
      <c r="I68" s="2">
        <v>2</v>
      </c>
      <c r="J68" s="2">
        <v>0</v>
      </c>
      <c r="K68" s="2">
        <v>0</v>
      </c>
      <c r="L68" s="2">
        <v>2</v>
      </c>
    </row>
    <row r="69" spans="1:12" x14ac:dyDescent="0.25">
      <c r="A69" s="2">
        <v>68</v>
      </c>
      <c r="B69" s="2" t="s">
        <v>143</v>
      </c>
      <c r="C69" s="2" t="s">
        <v>116</v>
      </c>
      <c r="D69" s="2" t="s">
        <v>144</v>
      </c>
      <c r="E69" s="2">
        <v>363</v>
      </c>
      <c r="F69" s="3">
        <v>0.95599999999999996</v>
      </c>
      <c r="G69" s="2">
        <v>16</v>
      </c>
      <c r="H69" s="2" t="s">
        <v>15</v>
      </c>
      <c r="I69" s="2">
        <v>6</v>
      </c>
      <c r="J69" s="2">
        <v>0</v>
      </c>
      <c r="K69" s="2">
        <v>0</v>
      </c>
      <c r="L69" s="2">
        <v>6</v>
      </c>
    </row>
    <row r="70" spans="1:12" x14ac:dyDescent="0.25">
      <c r="A70" s="2">
        <v>69</v>
      </c>
      <c r="B70" s="2" t="s">
        <v>145</v>
      </c>
      <c r="C70" s="2" t="s">
        <v>116</v>
      </c>
      <c r="D70" s="2" t="s">
        <v>91</v>
      </c>
      <c r="E70" s="2">
        <v>392</v>
      </c>
      <c r="F70" s="3">
        <v>0.96899999999999997</v>
      </c>
      <c r="G70" s="2">
        <v>12</v>
      </c>
      <c r="H70" s="2" t="s">
        <v>15</v>
      </c>
      <c r="I70" s="2">
        <v>6</v>
      </c>
      <c r="J70" s="2">
        <v>0</v>
      </c>
      <c r="K70" s="2">
        <v>0</v>
      </c>
      <c r="L70" s="2">
        <v>6</v>
      </c>
    </row>
    <row r="71" spans="1:12" x14ac:dyDescent="0.25">
      <c r="A71" s="2">
        <v>70</v>
      </c>
      <c r="B71" s="2" t="s">
        <v>146</v>
      </c>
      <c r="C71" s="2" t="s">
        <v>116</v>
      </c>
      <c r="D71" s="2" t="s">
        <v>43</v>
      </c>
      <c r="E71" s="2">
        <v>957</v>
      </c>
      <c r="F71" s="3">
        <v>0.96199999999999997</v>
      </c>
      <c r="G71" s="2">
        <v>36</v>
      </c>
      <c r="H71" s="2" t="s">
        <v>44</v>
      </c>
      <c r="I71" s="2">
        <v>0</v>
      </c>
      <c r="J71" s="2">
        <v>3</v>
      </c>
      <c r="K71" s="2">
        <v>0</v>
      </c>
      <c r="L71" s="2">
        <v>3</v>
      </c>
    </row>
    <row r="72" spans="1:12" x14ac:dyDescent="0.25">
      <c r="A72" s="2">
        <v>71</v>
      </c>
      <c r="B72" s="2" t="s">
        <v>147</v>
      </c>
      <c r="C72" s="2" t="s">
        <v>116</v>
      </c>
      <c r="D72" s="2" t="s">
        <v>148</v>
      </c>
      <c r="E72" s="2">
        <v>216</v>
      </c>
      <c r="F72" s="3">
        <v>0.995</v>
      </c>
      <c r="G72" s="2">
        <v>1</v>
      </c>
      <c r="H72" s="2" t="s">
        <v>15</v>
      </c>
      <c r="I72" s="2">
        <v>6</v>
      </c>
      <c r="J72" s="2">
        <v>0</v>
      </c>
      <c r="K72" s="2">
        <v>0</v>
      </c>
      <c r="L72" s="2">
        <v>6</v>
      </c>
    </row>
    <row r="73" spans="1:12" x14ac:dyDescent="0.25">
      <c r="A73" s="4">
        <v>72</v>
      </c>
      <c r="B73" s="4" t="s">
        <v>149</v>
      </c>
      <c r="C73" s="4" t="s">
        <v>116</v>
      </c>
      <c r="D73" s="4" t="s">
        <v>150</v>
      </c>
      <c r="E73" s="4">
        <v>24</v>
      </c>
      <c r="F73" s="5">
        <v>0.91700000000000004</v>
      </c>
      <c r="G73" s="4">
        <v>2</v>
      </c>
      <c r="H73" s="4" t="s">
        <v>25</v>
      </c>
      <c r="I73" s="4">
        <v>6</v>
      </c>
      <c r="J73" s="4">
        <v>1</v>
      </c>
      <c r="K73" s="4">
        <v>0</v>
      </c>
      <c r="L73" s="4">
        <v>7</v>
      </c>
    </row>
    <row r="74" spans="1:12" x14ac:dyDescent="0.25">
      <c r="A74" s="4">
        <v>73</v>
      </c>
      <c r="B74" s="4" t="s">
        <v>151</v>
      </c>
      <c r="C74" s="4" t="s">
        <v>116</v>
      </c>
      <c r="D74" s="4" t="s">
        <v>72</v>
      </c>
      <c r="E74" s="4">
        <v>554</v>
      </c>
      <c r="F74" s="5">
        <v>0.85399999999999998</v>
      </c>
      <c r="G74" s="4">
        <v>81</v>
      </c>
      <c r="H74" s="4" t="s">
        <v>73</v>
      </c>
      <c r="I74" s="4">
        <v>0</v>
      </c>
      <c r="J74" s="4">
        <v>2</v>
      </c>
      <c r="K74" s="4">
        <v>4</v>
      </c>
      <c r="L74" s="4">
        <v>6</v>
      </c>
    </row>
    <row r="75" spans="1:12" x14ac:dyDescent="0.25">
      <c r="A75" s="4">
        <v>74</v>
      </c>
      <c r="B75" s="4" t="s">
        <v>152</v>
      </c>
      <c r="C75" s="4" t="s">
        <v>116</v>
      </c>
      <c r="D75" s="4" t="s">
        <v>153</v>
      </c>
      <c r="E75" s="4">
        <v>360</v>
      </c>
      <c r="F75" s="5">
        <v>0.89200000000000002</v>
      </c>
      <c r="G75" s="4">
        <v>39</v>
      </c>
      <c r="H75" s="4" t="s">
        <v>52</v>
      </c>
      <c r="I75" s="4">
        <v>6</v>
      </c>
      <c r="J75" s="4">
        <v>3</v>
      </c>
      <c r="K75" s="4">
        <v>4</v>
      </c>
      <c r="L75" s="4">
        <v>13</v>
      </c>
    </row>
    <row r="76" spans="1:12" x14ac:dyDescent="0.25">
      <c r="A76" s="2">
        <v>75</v>
      </c>
      <c r="B76" s="2" t="s">
        <v>154</v>
      </c>
      <c r="C76" s="2" t="s">
        <v>116</v>
      </c>
      <c r="D76" s="2" t="s">
        <v>27</v>
      </c>
      <c r="E76" s="2">
        <v>620</v>
      </c>
      <c r="F76" s="3">
        <v>0.94799999999999995</v>
      </c>
      <c r="G76" s="2">
        <v>32</v>
      </c>
      <c r="H76" s="2" t="s">
        <v>15</v>
      </c>
      <c r="I76" s="2">
        <v>6</v>
      </c>
      <c r="J76" s="2">
        <v>0</v>
      </c>
      <c r="K76" s="2">
        <v>0</v>
      </c>
      <c r="L76" s="2">
        <v>6</v>
      </c>
    </row>
    <row r="77" spans="1:12" x14ac:dyDescent="0.25">
      <c r="A77" s="4">
        <v>76</v>
      </c>
      <c r="B77" s="4" t="s">
        <v>155</v>
      </c>
      <c r="C77" s="4" t="s">
        <v>116</v>
      </c>
      <c r="D77" s="4" t="s">
        <v>156</v>
      </c>
      <c r="E77" s="4">
        <v>20</v>
      </c>
      <c r="F77" s="5">
        <v>0.95</v>
      </c>
      <c r="G77" s="4">
        <v>1</v>
      </c>
      <c r="H77" s="4" t="s">
        <v>25</v>
      </c>
      <c r="I77" s="4">
        <v>6</v>
      </c>
      <c r="J77" s="4">
        <v>3</v>
      </c>
      <c r="K77" s="4">
        <v>0</v>
      </c>
      <c r="L77" s="4">
        <v>9</v>
      </c>
    </row>
    <row r="78" spans="1:12" x14ac:dyDescent="0.25">
      <c r="A78" s="4">
        <v>77</v>
      </c>
      <c r="B78" s="4" t="s">
        <v>157</v>
      </c>
      <c r="C78" s="4" t="s">
        <v>116</v>
      </c>
      <c r="D78" s="4" t="s">
        <v>158</v>
      </c>
      <c r="E78" s="4">
        <v>26</v>
      </c>
      <c r="F78" s="5">
        <v>0.92300000000000004</v>
      </c>
      <c r="G78" s="4">
        <v>2</v>
      </c>
      <c r="H78" s="4" t="s">
        <v>25</v>
      </c>
      <c r="I78" s="4">
        <v>6</v>
      </c>
      <c r="J78" s="4">
        <v>3</v>
      </c>
      <c r="K78" s="4">
        <v>0</v>
      </c>
      <c r="L78" s="4">
        <v>9</v>
      </c>
    </row>
    <row r="79" spans="1:12" x14ac:dyDescent="0.25">
      <c r="A79" s="4">
        <v>78</v>
      </c>
      <c r="B79" s="4" t="s">
        <v>159</v>
      </c>
      <c r="C79" s="4" t="s">
        <v>116</v>
      </c>
      <c r="D79" s="4" t="s">
        <v>160</v>
      </c>
      <c r="E79" s="4">
        <v>50</v>
      </c>
      <c r="F79" s="5">
        <v>0.84</v>
      </c>
      <c r="G79" s="4">
        <v>8</v>
      </c>
      <c r="H79" s="4" t="s">
        <v>25</v>
      </c>
      <c r="I79" s="4">
        <v>6</v>
      </c>
      <c r="J79" s="4">
        <v>3</v>
      </c>
      <c r="K79" s="4">
        <v>0</v>
      </c>
      <c r="L79" s="4">
        <v>9</v>
      </c>
    </row>
    <row r="80" spans="1:12" x14ac:dyDescent="0.25">
      <c r="A80" s="2">
        <v>79</v>
      </c>
      <c r="B80" s="2" t="s">
        <v>161</v>
      </c>
      <c r="C80" s="2" t="s">
        <v>116</v>
      </c>
      <c r="D80" s="2" t="s">
        <v>17</v>
      </c>
      <c r="E80" s="2">
        <v>33</v>
      </c>
      <c r="F80" s="3">
        <v>0.75800000000000001</v>
      </c>
      <c r="G80" s="2">
        <v>8</v>
      </c>
      <c r="H80" s="2" t="s">
        <v>18</v>
      </c>
      <c r="I80" s="2">
        <v>0</v>
      </c>
      <c r="J80" s="2">
        <v>0</v>
      </c>
      <c r="K80" s="2">
        <v>4</v>
      </c>
      <c r="L80" s="2">
        <v>4</v>
      </c>
    </row>
    <row r="81" spans="1:12" x14ac:dyDescent="0.25">
      <c r="A81" s="4">
        <v>80</v>
      </c>
      <c r="B81" s="4" t="s">
        <v>162</v>
      </c>
      <c r="C81" s="4" t="s">
        <v>116</v>
      </c>
      <c r="D81" s="4" t="s">
        <v>163</v>
      </c>
      <c r="E81" s="4">
        <v>605</v>
      </c>
      <c r="F81" s="5">
        <v>0.82499999999999996</v>
      </c>
      <c r="G81" s="4">
        <v>106</v>
      </c>
      <c r="H81" s="4" t="s">
        <v>52</v>
      </c>
      <c r="I81" s="4">
        <v>6</v>
      </c>
      <c r="J81" s="4">
        <v>3</v>
      </c>
      <c r="K81" s="4">
        <v>4</v>
      </c>
      <c r="L81" s="4">
        <v>13</v>
      </c>
    </row>
    <row r="82" spans="1:12" x14ac:dyDescent="0.25">
      <c r="A82" s="4">
        <v>81</v>
      </c>
      <c r="B82" s="4" t="s">
        <v>164</v>
      </c>
      <c r="C82" s="4" t="s">
        <v>116</v>
      </c>
      <c r="D82" s="4" t="s">
        <v>165</v>
      </c>
      <c r="E82" s="4">
        <v>484</v>
      </c>
      <c r="F82" s="5">
        <v>0.94799999999999995</v>
      </c>
      <c r="G82" s="4">
        <v>25</v>
      </c>
      <c r="H82" s="4" t="s">
        <v>52</v>
      </c>
      <c r="I82" s="4">
        <v>6</v>
      </c>
      <c r="J82" s="4">
        <v>3</v>
      </c>
      <c r="K82" s="4">
        <v>4</v>
      </c>
      <c r="L82" s="4">
        <v>13</v>
      </c>
    </row>
    <row r="83" spans="1:12" x14ac:dyDescent="0.25">
      <c r="A83" s="2">
        <v>82</v>
      </c>
      <c r="B83" s="2" t="s">
        <v>166</v>
      </c>
      <c r="C83" s="2" t="s">
        <v>116</v>
      </c>
      <c r="D83" s="2" t="s">
        <v>167</v>
      </c>
      <c r="E83" s="2">
        <v>2152</v>
      </c>
      <c r="F83" s="3">
        <v>0.96299999999999997</v>
      </c>
      <c r="G83" s="2">
        <v>80</v>
      </c>
      <c r="H83" s="2" t="s">
        <v>18</v>
      </c>
      <c r="I83" s="2">
        <v>0</v>
      </c>
      <c r="J83" s="2">
        <v>0</v>
      </c>
      <c r="K83" s="2">
        <v>4</v>
      </c>
      <c r="L83" s="2">
        <v>4</v>
      </c>
    </row>
    <row r="84" spans="1:12" x14ac:dyDescent="0.25">
      <c r="A84" s="4">
        <v>83</v>
      </c>
      <c r="B84" s="4" t="s">
        <v>168</v>
      </c>
      <c r="C84" s="4" t="s">
        <v>116</v>
      </c>
      <c r="D84" s="4" t="s">
        <v>169</v>
      </c>
      <c r="E84" s="4">
        <v>400</v>
      </c>
      <c r="F84" s="5">
        <v>0.93799999999999994</v>
      </c>
      <c r="G84" s="4">
        <v>25</v>
      </c>
      <c r="H84" s="4" t="s">
        <v>25</v>
      </c>
      <c r="I84" s="4">
        <v>6</v>
      </c>
      <c r="J84" s="4">
        <v>3</v>
      </c>
      <c r="K84" s="4">
        <v>0</v>
      </c>
      <c r="L84" s="4">
        <v>9</v>
      </c>
    </row>
    <row r="85" spans="1:12" x14ac:dyDescent="0.25">
      <c r="A85" s="2">
        <v>84</v>
      </c>
      <c r="B85" s="2" t="s">
        <v>170</v>
      </c>
      <c r="C85" s="2" t="s">
        <v>116</v>
      </c>
      <c r="D85" s="2" t="s">
        <v>171</v>
      </c>
      <c r="E85" s="2">
        <v>36</v>
      </c>
      <c r="F85" s="3">
        <v>1</v>
      </c>
      <c r="G85" s="2">
        <v>0</v>
      </c>
      <c r="H85" s="2" t="s">
        <v>15</v>
      </c>
      <c r="I85" s="2">
        <v>6</v>
      </c>
      <c r="J85" s="2">
        <v>0</v>
      </c>
      <c r="K85" s="2">
        <v>0</v>
      </c>
      <c r="L85" s="2">
        <v>6</v>
      </c>
    </row>
    <row r="86" spans="1:12" x14ac:dyDescent="0.25">
      <c r="A86" s="2">
        <v>85</v>
      </c>
      <c r="B86" s="2" t="s">
        <v>172</v>
      </c>
      <c r="C86" s="2" t="s">
        <v>116</v>
      </c>
      <c r="D86" s="2" t="s">
        <v>49</v>
      </c>
      <c r="E86" s="2">
        <v>498</v>
      </c>
      <c r="F86" s="3">
        <v>0.91600000000000004</v>
      </c>
      <c r="G86" s="2">
        <v>42</v>
      </c>
      <c r="H86" s="2" t="s">
        <v>15</v>
      </c>
      <c r="I86" s="2">
        <v>6</v>
      </c>
      <c r="J86" s="2">
        <v>0</v>
      </c>
      <c r="K86" s="2">
        <v>0</v>
      </c>
      <c r="L86" s="2">
        <v>6</v>
      </c>
    </row>
    <row r="87" spans="1:12" x14ac:dyDescent="0.25">
      <c r="A87" s="2">
        <v>86</v>
      </c>
      <c r="B87" s="2" t="s">
        <v>173</v>
      </c>
      <c r="C87" s="2" t="s">
        <v>116</v>
      </c>
      <c r="D87" s="2" t="s">
        <v>174</v>
      </c>
      <c r="E87" s="2">
        <v>649</v>
      </c>
      <c r="F87" s="3">
        <v>0.93200000000000005</v>
      </c>
      <c r="G87" s="2">
        <v>44</v>
      </c>
      <c r="H87" s="2" t="s">
        <v>15</v>
      </c>
      <c r="I87" s="2">
        <v>6</v>
      </c>
      <c r="J87" s="2">
        <v>0</v>
      </c>
      <c r="K87" s="2">
        <v>0</v>
      </c>
      <c r="L87" s="2">
        <v>6</v>
      </c>
    </row>
    <row r="88" spans="1:12" x14ac:dyDescent="0.25">
      <c r="A88" s="4">
        <v>87</v>
      </c>
      <c r="B88" s="4" t="s">
        <v>175</v>
      </c>
      <c r="C88" s="4" t="s">
        <v>116</v>
      </c>
      <c r="D88" s="4" t="s">
        <v>176</v>
      </c>
      <c r="E88" s="4">
        <v>310</v>
      </c>
      <c r="F88" s="5">
        <v>0.46800000000000003</v>
      </c>
      <c r="G88" s="4">
        <v>165</v>
      </c>
      <c r="H88" s="4" t="s">
        <v>52</v>
      </c>
      <c r="I88" s="4">
        <v>6</v>
      </c>
      <c r="J88" s="4">
        <v>3</v>
      </c>
      <c r="K88" s="4">
        <v>4</v>
      </c>
      <c r="L88" s="4">
        <v>13</v>
      </c>
    </row>
    <row r="89" spans="1:12" x14ac:dyDescent="0.25">
      <c r="A89" s="2">
        <v>88</v>
      </c>
      <c r="B89" s="2" t="s">
        <v>177</v>
      </c>
      <c r="C89" s="2" t="s">
        <v>116</v>
      </c>
      <c r="D89" s="2" t="s">
        <v>178</v>
      </c>
      <c r="E89" s="2">
        <v>393</v>
      </c>
      <c r="F89" s="3">
        <v>0.93899999999999995</v>
      </c>
      <c r="G89" s="2">
        <v>24</v>
      </c>
      <c r="H89" s="2" t="s">
        <v>15</v>
      </c>
      <c r="I89" s="2">
        <v>6</v>
      </c>
      <c r="J89" s="2">
        <v>0</v>
      </c>
      <c r="K89" s="2">
        <v>0</v>
      </c>
      <c r="L89" s="2">
        <v>6</v>
      </c>
    </row>
    <row r="90" spans="1:12" x14ac:dyDescent="0.25">
      <c r="A90" s="2">
        <v>89</v>
      </c>
      <c r="B90" s="2" t="s">
        <v>179</v>
      </c>
      <c r="C90" s="2" t="s">
        <v>180</v>
      </c>
      <c r="D90" s="2" t="s">
        <v>14</v>
      </c>
      <c r="E90" s="2">
        <v>592</v>
      </c>
      <c r="F90" s="3">
        <v>0.85099999999999998</v>
      </c>
      <c r="G90" s="2">
        <v>88</v>
      </c>
      <c r="H90" s="2" t="s">
        <v>15</v>
      </c>
      <c r="I90" s="2">
        <v>6</v>
      </c>
      <c r="J90" s="2">
        <v>0</v>
      </c>
      <c r="K90" s="2">
        <v>0</v>
      </c>
      <c r="L90" s="2">
        <v>6</v>
      </c>
    </row>
    <row r="91" spans="1:12" x14ac:dyDescent="0.25">
      <c r="A91" s="2">
        <v>90</v>
      </c>
      <c r="B91" s="2" t="s">
        <v>181</v>
      </c>
      <c r="C91" s="2" t="s">
        <v>182</v>
      </c>
      <c r="D91" s="2" t="s">
        <v>183</v>
      </c>
      <c r="E91" s="2">
        <v>651</v>
      </c>
      <c r="F91" s="3">
        <v>0.97499999999999998</v>
      </c>
      <c r="G91" s="2">
        <v>16</v>
      </c>
      <c r="H91" s="2" t="s">
        <v>15</v>
      </c>
      <c r="I91" s="2">
        <v>3</v>
      </c>
      <c r="J91" s="2">
        <v>0</v>
      </c>
      <c r="K91" s="2">
        <v>0</v>
      </c>
      <c r="L91" s="2">
        <v>3</v>
      </c>
    </row>
    <row r="92" spans="1:12" x14ac:dyDescent="0.25">
      <c r="A92" s="2">
        <v>91</v>
      </c>
      <c r="B92" s="2" t="s">
        <v>184</v>
      </c>
      <c r="C92" s="2" t="s">
        <v>182</v>
      </c>
      <c r="D92" s="2" t="s">
        <v>17</v>
      </c>
      <c r="E92" s="2">
        <v>852</v>
      </c>
      <c r="F92" s="3">
        <v>0.97299999999999998</v>
      </c>
      <c r="G92" s="2">
        <v>23</v>
      </c>
      <c r="H92" s="2" t="s">
        <v>18</v>
      </c>
      <c r="I92" s="2">
        <v>0</v>
      </c>
      <c r="J92" s="2">
        <v>0</v>
      </c>
      <c r="K92" s="2">
        <v>4</v>
      </c>
      <c r="L92" s="2">
        <v>4</v>
      </c>
    </row>
    <row r="93" spans="1:12" x14ac:dyDescent="0.25">
      <c r="A93" s="2">
        <v>92</v>
      </c>
      <c r="B93" s="2" t="s">
        <v>185</v>
      </c>
      <c r="C93" s="2" t="s">
        <v>182</v>
      </c>
      <c r="D93" s="2" t="s">
        <v>43</v>
      </c>
      <c r="E93" s="2">
        <v>699</v>
      </c>
      <c r="F93" s="3">
        <v>0.95</v>
      </c>
      <c r="G93" s="2">
        <v>35</v>
      </c>
      <c r="H93" s="2" t="s">
        <v>44</v>
      </c>
      <c r="I93" s="2">
        <v>0</v>
      </c>
      <c r="J93" s="2">
        <v>3</v>
      </c>
      <c r="K93" s="2">
        <v>0</v>
      </c>
      <c r="L93" s="2">
        <v>3</v>
      </c>
    </row>
    <row r="94" spans="1:12" x14ac:dyDescent="0.25">
      <c r="A94" s="2">
        <v>93</v>
      </c>
      <c r="B94" s="2" t="s">
        <v>186</v>
      </c>
      <c r="C94" s="2" t="s">
        <v>182</v>
      </c>
      <c r="D94" s="2" t="s">
        <v>187</v>
      </c>
      <c r="E94" s="2">
        <v>627</v>
      </c>
      <c r="F94" s="3">
        <v>0.90600000000000003</v>
      </c>
      <c r="G94" s="2">
        <v>59</v>
      </c>
      <c r="H94" s="2" t="s">
        <v>15</v>
      </c>
      <c r="I94" s="2">
        <v>3</v>
      </c>
      <c r="J94" s="2">
        <v>0</v>
      </c>
      <c r="K94" s="2">
        <v>0</v>
      </c>
      <c r="L94" s="2">
        <v>3</v>
      </c>
    </row>
    <row r="95" spans="1:12" x14ac:dyDescent="0.25">
      <c r="B95" s="6" t="s">
        <v>188</v>
      </c>
      <c r="E95" s="6">
        <f>SUM(E2:E94)</f>
        <v>57280</v>
      </c>
      <c r="G95" s="6">
        <f>SUM(G2:G94)</f>
        <v>6425</v>
      </c>
    </row>
    <row r="97" spans="1:1" x14ac:dyDescent="0.25">
      <c r="A97" s="7" t="s">
        <v>189</v>
      </c>
    </row>
    <row r="98" spans="1:1" x14ac:dyDescent="0.25">
      <c r="A98" s="7" t="s">
        <v>190</v>
      </c>
    </row>
    <row r="99" spans="1:1" x14ac:dyDescent="0.25">
      <c r="A99" s="7" t="s">
        <v>191</v>
      </c>
    </row>
    <row r="100" spans="1:1" x14ac:dyDescent="0.25">
      <c r="A100" s="7" t="s">
        <v>192</v>
      </c>
    </row>
    <row r="101" spans="1:1" x14ac:dyDescent="0.25">
      <c r="A101" s="7" t="s">
        <v>193</v>
      </c>
    </row>
    <row r="102" spans="1:1" x14ac:dyDescent="0.25">
      <c r="A102" s="7" t="s">
        <v>194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8"/>
  <sheetViews>
    <sheetView zoomScaleNormal="100" workbookViewId="0"/>
  </sheetViews>
  <sheetFormatPr defaultColWidth="8.7109375" defaultRowHeight="15" x14ac:dyDescent="0.25"/>
  <cols>
    <col min="1" max="1" width="35" customWidth="1"/>
    <col min="2" max="2" width="19" customWidth="1"/>
    <col min="3" max="3" width="15" customWidth="1"/>
    <col min="4" max="4" width="8" customWidth="1"/>
    <col min="5" max="5" width="15" customWidth="1"/>
    <col min="6" max="6" width="19" customWidth="1"/>
    <col min="7" max="7" width="14" customWidth="1"/>
    <col min="8" max="8" width="13" customWidth="1"/>
    <col min="9" max="9" width="14" customWidth="1"/>
    <col min="10" max="10" width="15" customWidth="1"/>
    <col min="11" max="12" width="22" customWidth="1"/>
    <col min="13" max="13" width="21" customWidth="1"/>
    <col min="14" max="14" width="18" customWidth="1"/>
    <col min="15" max="15" width="15" customWidth="1"/>
    <col min="16" max="16" width="17" customWidth="1"/>
    <col min="17" max="17" width="15" customWidth="1"/>
    <col min="18" max="18" width="18" customWidth="1"/>
    <col min="19" max="19" width="15" customWidth="1"/>
  </cols>
  <sheetData>
    <row r="1" spans="1:19" ht="15.75" x14ac:dyDescent="0.25">
      <c r="A1" s="8" t="s">
        <v>195</v>
      </c>
    </row>
    <row r="2" spans="1:19" x14ac:dyDescent="0.25">
      <c r="A2" s="7" t="s">
        <v>196</v>
      </c>
    </row>
    <row r="3" spans="1:19" x14ac:dyDescent="0.25">
      <c r="A3" s="7" t="s">
        <v>197</v>
      </c>
    </row>
    <row r="5" spans="1:19" x14ac:dyDescent="0.25">
      <c r="A5" s="1" t="s">
        <v>1</v>
      </c>
      <c r="B5" s="1" t="s">
        <v>3</v>
      </c>
      <c r="C5" s="1" t="s">
        <v>4</v>
      </c>
      <c r="D5" s="1" t="s">
        <v>198</v>
      </c>
      <c r="E5" s="1" t="s">
        <v>199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200</v>
      </c>
      <c r="L5" s="1" t="s">
        <v>201</v>
      </c>
      <c r="M5" s="1" t="s">
        <v>202</v>
      </c>
      <c r="N5" s="1" t="s">
        <v>203</v>
      </c>
      <c r="O5" s="1" t="s">
        <v>204</v>
      </c>
      <c r="P5" s="1" t="s">
        <v>205</v>
      </c>
      <c r="Q5" s="1" t="s">
        <v>206</v>
      </c>
      <c r="R5" s="1" t="s">
        <v>207</v>
      </c>
      <c r="S5" s="1" t="s">
        <v>208</v>
      </c>
    </row>
    <row r="6" spans="1:19" x14ac:dyDescent="0.25">
      <c r="A6" s="9" t="s">
        <v>23</v>
      </c>
      <c r="B6" s="9" t="s">
        <v>24</v>
      </c>
      <c r="C6" s="9">
        <v>822</v>
      </c>
      <c r="D6" s="10">
        <v>0.74299999999999999</v>
      </c>
      <c r="E6" s="9">
        <v>211</v>
      </c>
      <c r="F6" s="9" t="s">
        <v>25</v>
      </c>
      <c r="G6" s="9">
        <v>6</v>
      </c>
      <c r="H6" s="9">
        <v>3</v>
      </c>
      <c r="I6" s="9">
        <v>0</v>
      </c>
      <c r="J6" s="9">
        <v>9</v>
      </c>
      <c r="K6" s="11">
        <v>0.66666666666666696</v>
      </c>
      <c r="L6" s="11">
        <v>0.33333333333333298</v>
      </c>
      <c r="M6" s="11">
        <v>0</v>
      </c>
      <c r="N6" s="9">
        <v>548</v>
      </c>
      <c r="O6" s="9">
        <v>141</v>
      </c>
      <c r="P6" s="9">
        <v>274</v>
      </c>
      <c r="Q6" s="9">
        <v>70</v>
      </c>
      <c r="R6" s="9">
        <v>0</v>
      </c>
      <c r="S6" s="9">
        <v>0</v>
      </c>
    </row>
    <row r="7" spans="1:19" x14ac:dyDescent="0.25">
      <c r="A7" s="9" t="s">
        <v>30</v>
      </c>
      <c r="B7" s="9" t="s">
        <v>32</v>
      </c>
      <c r="C7" s="9">
        <v>797</v>
      </c>
      <c r="D7" s="10">
        <v>0.80200000000000005</v>
      </c>
      <c r="E7" s="9">
        <v>158</v>
      </c>
      <c r="F7" s="9" t="s">
        <v>25</v>
      </c>
      <c r="G7" s="9">
        <v>6</v>
      </c>
      <c r="H7" s="9">
        <v>3</v>
      </c>
      <c r="I7" s="9">
        <v>0</v>
      </c>
      <c r="J7" s="9">
        <v>9</v>
      </c>
      <c r="K7" s="11">
        <v>0.66666666666666696</v>
      </c>
      <c r="L7" s="11">
        <v>0.33333333333333298</v>
      </c>
      <c r="M7" s="11">
        <v>0</v>
      </c>
      <c r="N7" s="9">
        <v>531</v>
      </c>
      <c r="O7" s="9">
        <v>105</v>
      </c>
      <c r="P7" s="9">
        <v>266</v>
      </c>
      <c r="Q7" s="9">
        <v>53</v>
      </c>
      <c r="R7" s="9">
        <v>0</v>
      </c>
      <c r="S7" s="9">
        <v>0</v>
      </c>
    </row>
    <row r="8" spans="1:19" x14ac:dyDescent="0.25">
      <c r="A8" s="9" t="s">
        <v>33</v>
      </c>
      <c r="B8" s="9" t="s">
        <v>34</v>
      </c>
      <c r="C8" s="9">
        <v>482</v>
      </c>
      <c r="D8" s="10">
        <v>0.79700000000000004</v>
      </c>
      <c r="E8" s="9">
        <v>98</v>
      </c>
      <c r="F8" s="9" t="s">
        <v>25</v>
      </c>
      <c r="G8" s="9">
        <v>6</v>
      </c>
      <c r="H8" s="9">
        <v>1</v>
      </c>
      <c r="I8" s="9">
        <v>0</v>
      </c>
      <c r="J8" s="9">
        <v>7</v>
      </c>
      <c r="K8" s="11">
        <v>0.85714285714285698</v>
      </c>
      <c r="L8" s="11">
        <v>0.14285714285714299</v>
      </c>
      <c r="M8" s="11">
        <v>0</v>
      </c>
      <c r="N8" s="9">
        <v>413</v>
      </c>
      <c r="O8" s="9">
        <v>84</v>
      </c>
      <c r="P8" s="9">
        <v>69</v>
      </c>
      <c r="Q8" s="9">
        <v>14</v>
      </c>
      <c r="R8" s="9">
        <v>0</v>
      </c>
      <c r="S8" s="9">
        <v>0</v>
      </c>
    </row>
    <row r="9" spans="1:19" x14ac:dyDescent="0.25">
      <c r="A9" s="9" t="s">
        <v>50</v>
      </c>
      <c r="B9" s="9" t="s">
        <v>51</v>
      </c>
      <c r="C9" s="9">
        <v>153</v>
      </c>
      <c r="D9" s="10">
        <v>0.81699999999999995</v>
      </c>
      <c r="E9" s="9">
        <v>28</v>
      </c>
      <c r="F9" s="9" t="s">
        <v>52</v>
      </c>
      <c r="G9" s="9">
        <v>6</v>
      </c>
      <c r="H9" s="9">
        <v>3</v>
      </c>
      <c r="I9" s="9">
        <v>4</v>
      </c>
      <c r="J9" s="9">
        <v>13</v>
      </c>
      <c r="K9" s="11">
        <v>0.46153846153846201</v>
      </c>
      <c r="L9" s="11">
        <v>0.230769230769231</v>
      </c>
      <c r="M9" s="11">
        <v>0.30769230769230799</v>
      </c>
      <c r="N9" s="9">
        <v>71</v>
      </c>
      <c r="O9" s="9">
        <v>13</v>
      </c>
      <c r="P9" s="9">
        <v>35</v>
      </c>
      <c r="Q9" s="9">
        <v>6</v>
      </c>
      <c r="R9" s="9">
        <v>47</v>
      </c>
      <c r="S9" s="9">
        <v>9</v>
      </c>
    </row>
    <row r="10" spans="1:19" x14ac:dyDescent="0.25">
      <c r="A10" s="9" t="s">
        <v>71</v>
      </c>
      <c r="B10" s="9" t="s">
        <v>72</v>
      </c>
      <c r="C10" s="9">
        <v>1012</v>
      </c>
      <c r="D10" s="10">
        <v>0.873</v>
      </c>
      <c r="E10" s="9">
        <v>129</v>
      </c>
      <c r="F10" s="9" t="s">
        <v>73</v>
      </c>
      <c r="G10" s="9">
        <v>0</v>
      </c>
      <c r="H10" s="9">
        <v>2</v>
      </c>
      <c r="I10" s="9">
        <v>4</v>
      </c>
      <c r="J10" s="9">
        <v>6</v>
      </c>
      <c r="K10" s="11">
        <v>0</v>
      </c>
      <c r="L10" s="11">
        <v>0.33333333333333298</v>
      </c>
      <c r="M10" s="11">
        <v>0.66666666666666696</v>
      </c>
      <c r="N10" s="9">
        <v>0</v>
      </c>
      <c r="O10" s="9">
        <v>0</v>
      </c>
      <c r="P10" s="9">
        <v>337</v>
      </c>
      <c r="Q10" s="9">
        <v>43</v>
      </c>
      <c r="R10" s="9">
        <v>675</v>
      </c>
      <c r="S10" s="9">
        <v>86</v>
      </c>
    </row>
    <row r="11" spans="1:19" x14ac:dyDescent="0.25">
      <c r="A11" s="9" t="s">
        <v>76</v>
      </c>
      <c r="B11" s="9" t="s">
        <v>77</v>
      </c>
      <c r="C11" s="9">
        <v>365</v>
      </c>
      <c r="D11" s="10">
        <v>0.82699999999999996</v>
      </c>
      <c r="E11" s="9">
        <v>63</v>
      </c>
      <c r="F11" s="9" t="s">
        <v>25</v>
      </c>
      <c r="G11" s="9">
        <v>2</v>
      </c>
      <c r="H11" s="9">
        <v>1</v>
      </c>
      <c r="I11" s="9">
        <v>0</v>
      </c>
      <c r="J11" s="9">
        <v>3</v>
      </c>
      <c r="K11" s="11">
        <v>0.66666666666666696</v>
      </c>
      <c r="L11" s="11">
        <v>0.33333333333333298</v>
      </c>
      <c r="M11" s="11">
        <v>0</v>
      </c>
      <c r="N11" s="9">
        <v>243</v>
      </c>
      <c r="O11" s="9">
        <v>42</v>
      </c>
      <c r="P11" s="9">
        <v>122</v>
      </c>
      <c r="Q11" s="9">
        <v>21</v>
      </c>
      <c r="R11" s="9">
        <v>0</v>
      </c>
      <c r="S11" s="9">
        <v>0</v>
      </c>
    </row>
    <row r="12" spans="1:19" x14ac:dyDescent="0.25">
      <c r="A12" s="9" t="s">
        <v>78</v>
      </c>
      <c r="B12" s="9" t="s">
        <v>79</v>
      </c>
      <c r="C12" s="9">
        <v>391</v>
      </c>
      <c r="D12" s="10">
        <v>0.81799999999999995</v>
      </c>
      <c r="E12" s="9">
        <v>71</v>
      </c>
      <c r="F12" s="9" t="s">
        <v>25</v>
      </c>
      <c r="G12" s="9">
        <v>6</v>
      </c>
      <c r="H12" s="9">
        <v>1</v>
      </c>
      <c r="I12" s="9">
        <v>0</v>
      </c>
      <c r="J12" s="9">
        <v>7</v>
      </c>
      <c r="K12" s="11">
        <v>0.85714285714285698</v>
      </c>
      <c r="L12" s="11">
        <v>0.14285714285714299</v>
      </c>
      <c r="M12" s="11">
        <v>0</v>
      </c>
      <c r="N12" s="9">
        <v>335</v>
      </c>
      <c r="O12" s="9">
        <v>61</v>
      </c>
      <c r="P12" s="9">
        <v>56</v>
      </c>
      <c r="Q12" s="9">
        <v>10</v>
      </c>
      <c r="R12" s="9">
        <v>0</v>
      </c>
      <c r="S12" s="9">
        <v>0</v>
      </c>
    </row>
    <row r="13" spans="1:19" x14ac:dyDescent="0.25">
      <c r="A13" s="9" t="s">
        <v>122</v>
      </c>
      <c r="B13" s="9" t="s">
        <v>123</v>
      </c>
      <c r="C13" s="9">
        <v>38</v>
      </c>
      <c r="D13" s="10">
        <v>0.92100000000000004</v>
      </c>
      <c r="E13" s="9">
        <v>3</v>
      </c>
      <c r="F13" s="9" t="s">
        <v>52</v>
      </c>
      <c r="G13" s="9">
        <v>6</v>
      </c>
      <c r="H13" s="9">
        <v>3</v>
      </c>
      <c r="I13" s="9">
        <v>4</v>
      </c>
      <c r="J13" s="9">
        <v>13</v>
      </c>
      <c r="K13" s="11">
        <v>0.46153846153846201</v>
      </c>
      <c r="L13" s="11">
        <v>0.230769230769231</v>
      </c>
      <c r="M13" s="11">
        <v>0.30769230769230799</v>
      </c>
      <c r="N13" s="9">
        <v>18</v>
      </c>
      <c r="O13" s="9">
        <v>1</v>
      </c>
      <c r="P13" s="9">
        <v>9</v>
      </c>
      <c r="Q13" s="9">
        <v>1</v>
      </c>
      <c r="R13" s="9">
        <v>12</v>
      </c>
      <c r="S13" s="9">
        <v>1</v>
      </c>
    </row>
    <row r="14" spans="1:19" x14ac:dyDescent="0.25">
      <c r="A14" s="9" t="s">
        <v>128</v>
      </c>
      <c r="B14" s="9" t="s">
        <v>129</v>
      </c>
      <c r="C14" s="9">
        <v>55</v>
      </c>
      <c r="D14" s="10">
        <v>0.78200000000000003</v>
      </c>
      <c r="E14" s="9">
        <v>12</v>
      </c>
      <c r="F14" s="9" t="s">
        <v>25</v>
      </c>
      <c r="G14" s="9">
        <v>6</v>
      </c>
      <c r="H14" s="9">
        <v>3</v>
      </c>
      <c r="I14" s="9">
        <v>0</v>
      </c>
      <c r="J14" s="9">
        <v>9</v>
      </c>
      <c r="K14" s="11">
        <v>0.66666666666666696</v>
      </c>
      <c r="L14" s="11">
        <v>0.33333333333333298</v>
      </c>
      <c r="M14" s="11">
        <v>0</v>
      </c>
      <c r="N14" s="9">
        <v>37</v>
      </c>
      <c r="O14" s="9">
        <v>8</v>
      </c>
      <c r="P14" s="9">
        <v>18</v>
      </c>
      <c r="Q14" s="9">
        <v>4</v>
      </c>
      <c r="R14" s="9">
        <v>0</v>
      </c>
      <c r="S14" s="9">
        <v>0</v>
      </c>
    </row>
    <row r="15" spans="1:19" x14ac:dyDescent="0.25">
      <c r="A15" s="9" t="s">
        <v>132</v>
      </c>
      <c r="B15" s="9" t="s">
        <v>133</v>
      </c>
      <c r="C15" s="9">
        <v>607</v>
      </c>
      <c r="D15" s="10">
        <v>0.21299999999999999</v>
      </c>
      <c r="E15" s="9">
        <v>478</v>
      </c>
      <c r="F15" s="9" t="s">
        <v>25</v>
      </c>
      <c r="G15" s="9">
        <v>6</v>
      </c>
      <c r="H15" s="9">
        <v>3</v>
      </c>
      <c r="I15" s="9">
        <v>0</v>
      </c>
      <c r="J15" s="9">
        <v>9</v>
      </c>
      <c r="K15" s="11">
        <v>0.66666666666666696</v>
      </c>
      <c r="L15" s="11">
        <v>0.33333333333333298</v>
      </c>
      <c r="M15" s="11">
        <v>0</v>
      </c>
      <c r="N15" s="9">
        <v>405</v>
      </c>
      <c r="O15" s="9">
        <v>319</v>
      </c>
      <c r="P15" s="9">
        <v>202</v>
      </c>
      <c r="Q15" s="9">
        <v>159</v>
      </c>
      <c r="R15" s="9">
        <v>0</v>
      </c>
      <c r="S15" s="9">
        <v>0</v>
      </c>
    </row>
    <row r="16" spans="1:19" x14ac:dyDescent="0.25">
      <c r="A16" s="9" t="s">
        <v>134</v>
      </c>
      <c r="B16" s="9" t="s">
        <v>135</v>
      </c>
      <c r="C16" s="9">
        <v>415</v>
      </c>
      <c r="D16" s="10">
        <v>0.86499999999999999</v>
      </c>
      <c r="E16" s="9">
        <v>56</v>
      </c>
      <c r="F16" s="9" t="s">
        <v>25</v>
      </c>
      <c r="G16" s="9">
        <v>6</v>
      </c>
      <c r="H16" s="9">
        <v>3</v>
      </c>
      <c r="I16" s="9">
        <v>0</v>
      </c>
      <c r="J16" s="9">
        <v>9</v>
      </c>
      <c r="K16" s="11">
        <v>0.66666666666666696</v>
      </c>
      <c r="L16" s="11">
        <v>0.33333333333333298</v>
      </c>
      <c r="M16" s="11">
        <v>0</v>
      </c>
      <c r="N16" s="9">
        <v>277</v>
      </c>
      <c r="O16" s="9">
        <v>37</v>
      </c>
      <c r="P16" s="9">
        <v>138</v>
      </c>
      <c r="Q16" s="9">
        <v>19</v>
      </c>
      <c r="R16" s="9">
        <v>0</v>
      </c>
      <c r="S16" s="9">
        <v>0</v>
      </c>
    </row>
    <row r="17" spans="1:19" x14ac:dyDescent="0.25">
      <c r="A17" s="9" t="s">
        <v>136</v>
      </c>
      <c r="B17" s="9" t="s">
        <v>137</v>
      </c>
      <c r="C17" s="9">
        <v>1297</v>
      </c>
      <c r="D17" s="10">
        <v>0.87</v>
      </c>
      <c r="E17" s="9">
        <v>169</v>
      </c>
      <c r="F17" s="9" t="s">
        <v>52</v>
      </c>
      <c r="G17" s="9">
        <v>6</v>
      </c>
      <c r="H17" s="9">
        <v>3</v>
      </c>
      <c r="I17" s="9">
        <v>4</v>
      </c>
      <c r="J17" s="9">
        <v>13</v>
      </c>
      <c r="K17" s="11">
        <v>0.46153846153846201</v>
      </c>
      <c r="L17" s="11">
        <v>0.230769230769231</v>
      </c>
      <c r="M17" s="11">
        <v>0.30769230769230799</v>
      </c>
      <c r="N17" s="9">
        <v>599</v>
      </c>
      <c r="O17" s="9">
        <v>78</v>
      </c>
      <c r="P17" s="9">
        <v>299</v>
      </c>
      <c r="Q17" s="9">
        <v>39</v>
      </c>
      <c r="R17" s="9">
        <v>399</v>
      </c>
      <c r="S17" s="9">
        <v>52</v>
      </c>
    </row>
    <row r="18" spans="1:19" x14ac:dyDescent="0.25">
      <c r="A18" s="9" t="s">
        <v>149</v>
      </c>
      <c r="B18" s="9" t="s">
        <v>150</v>
      </c>
      <c r="C18" s="9">
        <v>24</v>
      </c>
      <c r="D18" s="10">
        <v>0.91700000000000004</v>
      </c>
      <c r="E18" s="9">
        <v>2</v>
      </c>
      <c r="F18" s="9" t="s">
        <v>25</v>
      </c>
      <c r="G18" s="9">
        <v>6</v>
      </c>
      <c r="H18" s="9">
        <v>1</v>
      </c>
      <c r="I18" s="9">
        <v>0</v>
      </c>
      <c r="J18" s="9">
        <v>7</v>
      </c>
      <c r="K18" s="11">
        <v>0.85714285714285698</v>
      </c>
      <c r="L18" s="11">
        <v>0.14285714285714299</v>
      </c>
      <c r="M18" s="11">
        <v>0</v>
      </c>
      <c r="N18" s="9">
        <v>21</v>
      </c>
      <c r="O18" s="9">
        <v>2</v>
      </c>
      <c r="P18" s="9">
        <v>3</v>
      </c>
      <c r="Q18" s="9">
        <v>0</v>
      </c>
      <c r="R18" s="9">
        <v>0</v>
      </c>
      <c r="S18" s="9">
        <v>0</v>
      </c>
    </row>
    <row r="19" spans="1:19" x14ac:dyDescent="0.25">
      <c r="A19" s="9" t="s">
        <v>151</v>
      </c>
      <c r="B19" s="9" t="s">
        <v>72</v>
      </c>
      <c r="C19" s="9">
        <v>554</v>
      </c>
      <c r="D19" s="10">
        <v>0.85399999999999998</v>
      </c>
      <c r="E19" s="9">
        <v>81</v>
      </c>
      <c r="F19" s="9" t="s">
        <v>73</v>
      </c>
      <c r="G19" s="9">
        <v>0</v>
      </c>
      <c r="H19" s="9">
        <v>2</v>
      </c>
      <c r="I19" s="9">
        <v>4</v>
      </c>
      <c r="J19" s="9">
        <v>6</v>
      </c>
      <c r="K19" s="11">
        <v>0</v>
      </c>
      <c r="L19" s="11">
        <v>0.33333333333333298</v>
      </c>
      <c r="M19" s="11">
        <v>0.66666666666666696</v>
      </c>
      <c r="N19" s="9">
        <v>0</v>
      </c>
      <c r="O19" s="9">
        <v>0</v>
      </c>
      <c r="P19" s="9">
        <v>185</v>
      </c>
      <c r="Q19" s="9">
        <v>27</v>
      </c>
      <c r="R19" s="9">
        <v>369</v>
      </c>
      <c r="S19" s="9">
        <v>54</v>
      </c>
    </row>
    <row r="20" spans="1:19" x14ac:dyDescent="0.25">
      <c r="A20" s="9" t="s">
        <v>152</v>
      </c>
      <c r="B20" s="9" t="s">
        <v>153</v>
      </c>
      <c r="C20" s="9">
        <v>360</v>
      </c>
      <c r="D20" s="10">
        <v>0.89200000000000002</v>
      </c>
      <c r="E20" s="9">
        <v>39</v>
      </c>
      <c r="F20" s="9" t="s">
        <v>52</v>
      </c>
      <c r="G20" s="9">
        <v>6</v>
      </c>
      <c r="H20" s="9">
        <v>3</v>
      </c>
      <c r="I20" s="9">
        <v>4</v>
      </c>
      <c r="J20" s="9">
        <v>13</v>
      </c>
      <c r="K20" s="11">
        <v>0.46153846153846201</v>
      </c>
      <c r="L20" s="11">
        <v>0.230769230769231</v>
      </c>
      <c r="M20" s="11">
        <v>0.30769230769230799</v>
      </c>
      <c r="N20" s="9">
        <v>166</v>
      </c>
      <c r="O20" s="9">
        <v>18</v>
      </c>
      <c r="P20" s="9">
        <v>83</v>
      </c>
      <c r="Q20" s="9">
        <v>9</v>
      </c>
      <c r="R20" s="9">
        <v>111</v>
      </c>
      <c r="S20" s="9">
        <v>12</v>
      </c>
    </row>
    <row r="21" spans="1:19" x14ac:dyDescent="0.25">
      <c r="A21" s="9" t="s">
        <v>155</v>
      </c>
      <c r="B21" s="9" t="s">
        <v>156</v>
      </c>
      <c r="C21" s="9">
        <v>20</v>
      </c>
      <c r="D21" s="10">
        <v>0.95</v>
      </c>
      <c r="E21" s="9">
        <v>1</v>
      </c>
      <c r="F21" s="9" t="s">
        <v>25</v>
      </c>
      <c r="G21" s="9">
        <v>6</v>
      </c>
      <c r="H21" s="9">
        <v>3</v>
      </c>
      <c r="I21" s="9">
        <v>0</v>
      </c>
      <c r="J21" s="9">
        <v>9</v>
      </c>
      <c r="K21" s="11">
        <v>0.66666666666666696</v>
      </c>
      <c r="L21" s="11">
        <v>0.33333333333333298</v>
      </c>
      <c r="M21" s="11">
        <v>0</v>
      </c>
      <c r="N21" s="9">
        <v>13</v>
      </c>
      <c r="O21" s="9">
        <v>1</v>
      </c>
      <c r="P21" s="9">
        <v>7</v>
      </c>
      <c r="Q21" s="9">
        <v>0</v>
      </c>
      <c r="R21" s="9">
        <v>0</v>
      </c>
      <c r="S21" s="9">
        <v>0</v>
      </c>
    </row>
    <row r="22" spans="1:19" x14ac:dyDescent="0.25">
      <c r="A22" s="9" t="s">
        <v>157</v>
      </c>
      <c r="B22" s="9" t="s">
        <v>158</v>
      </c>
      <c r="C22" s="9">
        <v>26</v>
      </c>
      <c r="D22" s="10">
        <v>0.92300000000000004</v>
      </c>
      <c r="E22" s="9">
        <v>2</v>
      </c>
      <c r="F22" s="9" t="s">
        <v>25</v>
      </c>
      <c r="G22" s="9">
        <v>6</v>
      </c>
      <c r="H22" s="9">
        <v>3</v>
      </c>
      <c r="I22" s="9">
        <v>0</v>
      </c>
      <c r="J22" s="9">
        <v>9</v>
      </c>
      <c r="K22" s="11">
        <v>0.66666666666666696</v>
      </c>
      <c r="L22" s="11">
        <v>0.33333333333333298</v>
      </c>
      <c r="M22" s="11">
        <v>0</v>
      </c>
      <c r="N22" s="9">
        <v>17</v>
      </c>
      <c r="O22" s="9">
        <v>1</v>
      </c>
      <c r="P22" s="9">
        <v>9</v>
      </c>
      <c r="Q22" s="9">
        <v>1</v>
      </c>
      <c r="R22" s="9">
        <v>0</v>
      </c>
      <c r="S22" s="9">
        <v>0</v>
      </c>
    </row>
    <row r="23" spans="1:19" x14ac:dyDescent="0.25">
      <c r="A23" s="9" t="s">
        <v>159</v>
      </c>
      <c r="B23" s="9" t="s">
        <v>160</v>
      </c>
      <c r="C23" s="9">
        <v>50</v>
      </c>
      <c r="D23" s="10">
        <v>0.84</v>
      </c>
      <c r="E23" s="9">
        <v>8</v>
      </c>
      <c r="F23" s="9" t="s">
        <v>25</v>
      </c>
      <c r="G23" s="9">
        <v>6</v>
      </c>
      <c r="H23" s="9">
        <v>3</v>
      </c>
      <c r="I23" s="9">
        <v>0</v>
      </c>
      <c r="J23" s="9">
        <v>9</v>
      </c>
      <c r="K23" s="11">
        <v>0.66666666666666696</v>
      </c>
      <c r="L23" s="11">
        <v>0.33333333333333298</v>
      </c>
      <c r="M23" s="11">
        <v>0</v>
      </c>
      <c r="N23" s="9">
        <v>33</v>
      </c>
      <c r="O23" s="9">
        <v>5</v>
      </c>
      <c r="P23" s="9">
        <v>17</v>
      </c>
      <c r="Q23" s="9">
        <v>3</v>
      </c>
      <c r="R23" s="9">
        <v>0</v>
      </c>
      <c r="S23" s="9">
        <v>0</v>
      </c>
    </row>
    <row r="24" spans="1:19" x14ac:dyDescent="0.25">
      <c r="A24" s="9" t="s">
        <v>162</v>
      </c>
      <c r="B24" s="9" t="s">
        <v>163</v>
      </c>
      <c r="C24" s="9">
        <v>605</v>
      </c>
      <c r="D24" s="10">
        <v>0.82499999999999996</v>
      </c>
      <c r="E24" s="9">
        <v>106</v>
      </c>
      <c r="F24" s="9" t="s">
        <v>52</v>
      </c>
      <c r="G24" s="9">
        <v>6</v>
      </c>
      <c r="H24" s="9">
        <v>3</v>
      </c>
      <c r="I24" s="9">
        <v>4</v>
      </c>
      <c r="J24" s="9">
        <v>13</v>
      </c>
      <c r="K24" s="11">
        <v>0.46153846153846201</v>
      </c>
      <c r="L24" s="11">
        <v>0.230769230769231</v>
      </c>
      <c r="M24" s="11">
        <v>0.30769230769230799</v>
      </c>
      <c r="N24" s="9">
        <v>279</v>
      </c>
      <c r="O24" s="9">
        <v>49</v>
      </c>
      <c r="P24" s="9">
        <v>140</v>
      </c>
      <c r="Q24" s="9">
        <v>24</v>
      </c>
      <c r="R24" s="9">
        <v>186</v>
      </c>
      <c r="S24" s="9">
        <v>33</v>
      </c>
    </row>
    <row r="25" spans="1:19" x14ac:dyDescent="0.25">
      <c r="A25" s="9" t="s">
        <v>164</v>
      </c>
      <c r="B25" s="9" t="s">
        <v>165</v>
      </c>
      <c r="C25" s="9">
        <v>484</v>
      </c>
      <c r="D25" s="10">
        <v>0.94799999999999995</v>
      </c>
      <c r="E25" s="9">
        <v>25</v>
      </c>
      <c r="F25" s="9" t="s">
        <v>52</v>
      </c>
      <c r="G25" s="9">
        <v>6</v>
      </c>
      <c r="H25" s="9">
        <v>3</v>
      </c>
      <c r="I25" s="9">
        <v>4</v>
      </c>
      <c r="J25" s="9">
        <v>13</v>
      </c>
      <c r="K25" s="11">
        <v>0.46153846153846201</v>
      </c>
      <c r="L25" s="11">
        <v>0.230769230769231</v>
      </c>
      <c r="M25" s="11">
        <v>0.30769230769230799</v>
      </c>
      <c r="N25" s="9">
        <v>223</v>
      </c>
      <c r="O25" s="9">
        <v>12</v>
      </c>
      <c r="P25" s="9">
        <v>112</v>
      </c>
      <c r="Q25" s="9">
        <v>6</v>
      </c>
      <c r="R25" s="9">
        <v>149</v>
      </c>
      <c r="S25" s="9">
        <v>8</v>
      </c>
    </row>
    <row r="26" spans="1:19" x14ac:dyDescent="0.25">
      <c r="A26" s="9" t="s">
        <v>168</v>
      </c>
      <c r="B26" s="9" t="s">
        <v>169</v>
      </c>
      <c r="C26" s="9">
        <v>400</v>
      </c>
      <c r="D26" s="10">
        <v>0.93799999999999994</v>
      </c>
      <c r="E26" s="9">
        <v>25</v>
      </c>
      <c r="F26" s="9" t="s">
        <v>25</v>
      </c>
      <c r="G26" s="9">
        <v>6</v>
      </c>
      <c r="H26" s="9">
        <v>3</v>
      </c>
      <c r="I26" s="9">
        <v>0</v>
      </c>
      <c r="J26" s="9">
        <v>9</v>
      </c>
      <c r="K26" s="11">
        <v>0.66666666666666696</v>
      </c>
      <c r="L26" s="11">
        <v>0.33333333333333298</v>
      </c>
      <c r="M26" s="11">
        <v>0</v>
      </c>
      <c r="N26" s="9">
        <v>267</v>
      </c>
      <c r="O26" s="9">
        <v>17</v>
      </c>
      <c r="P26" s="9">
        <v>133</v>
      </c>
      <c r="Q26" s="9">
        <v>8</v>
      </c>
      <c r="R26" s="9">
        <v>0</v>
      </c>
      <c r="S26" s="9">
        <v>0</v>
      </c>
    </row>
    <row r="27" spans="1:19" x14ac:dyDescent="0.25">
      <c r="A27" s="9" t="s">
        <v>175</v>
      </c>
      <c r="B27" s="9" t="s">
        <v>176</v>
      </c>
      <c r="C27" s="9">
        <v>310</v>
      </c>
      <c r="D27" s="10">
        <v>0.46800000000000003</v>
      </c>
      <c r="E27" s="9">
        <v>165</v>
      </c>
      <c r="F27" s="9" t="s">
        <v>52</v>
      </c>
      <c r="G27" s="9">
        <v>6</v>
      </c>
      <c r="H27" s="9">
        <v>3</v>
      </c>
      <c r="I27" s="9">
        <v>4</v>
      </c>
      <c r="J27" s="9">
        <v>13</v>
      </c>
      <c r="K27" s="11">
        <v>0.46153846153846201</v>
      </c>
      <c r="L27" s="11">
        <v>0.230769230769231</v>
      </c>
      <c r="M27" s="11">
        <v>0.30769230769230799</v>
      </c>
      <c r="N27" s="9">
        <v>143</v>
      </c>
      <c r="O27" s="9">
        <v>76</v>
      </c>
      <c r="P27" s="9">
        <v>72</v>
      </c>
      <c r="Q27" s="9">
        <v>38</v>
      </c>
      <c r="R27" s="9">
        <v>95</v>
      </c>
      <c r="S27" s="9">
        <v>51</v>
      </c>
    </row>
    <row r="28" spans="1:19" x14ac:dyDescent="0.25">
      <c r="A28" s="6" t="s">
        <v>209</v>
      </c>
      <c r="C28" s="6">
        <f>SUM(C6:C27)</f>
        <v>9267</v>
      </c>
      <c r="E28" s="6">
        <f>SUM(E6:E27)</f>
        <v>1930</v>
      </c>
      <c r="N28" s="6">
        <f t="shared" ref="N28:S28" si="0">SUM(N6:N27)</f>
        <v>4639</v>
      </c>
      <c r="O28" s="6">
        <f t="shared" si="0"/>
        <v>1070</v>
      </c>
      <c r="P28" s="6">
        <f t="shared" si="0"/>
        <v>2586</v>
      </c>
      <c r="Q28" s="6">
        <f t="shared" si="0"/>
        <v>555</v>
      </c>
      <c r="R28" s="6">
        <f t="shared" si="0"/>
        <v>2043</v>
      </c>
      <c r="S28" s="6">
        <f t="shared" si="0"/>
        <v>306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4"/>
  <sheetViews>
    <sheetView zoomScaleNormal="100" workbookViewId="0"/>
  </sheetViews>
  <sheetFormatPr defaultColWidth="8.7109375" defaultRowHeight="15" x14ac:dyDescent="0.25"/>
  <cols>
    <col min="1" max="1" width="35" customWidth="1"/>
    <col min="2" max="2" width="18" customWidth="1"/>
    <col min="3" max="3" width="19" customWidth="1"/>
    <col min="4" max="4" width="16" customWidth="1"/>
    <col min="5" max="5" width="15" customWidth="1"/>
    <col min="6" max="6" width="16" customWidth="1"/>
  </cols>
  <sheetData>
    <row r="1" spans="1:6" ht="15.75" x14ac:dyDescent="0.25">
      <c r="A1" s="8" t="s">
        <v>210</v>
      </c>
    </row>
    <row r="3" spans="1:6" x14ac:dyDescent="0.25">
      <c r="A3" s="12" t="s">
        <v>211</v>
      </c>
    </row>
    <row r="4" spans="1:6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x14ac:dyDescent="0.25">
      <c r="A5" s="9" t="s">
        <v>12</v>
      </c>
      <c r="B5" s="9" t="s">
        <v>13</v>
      </c>
      <c r="C5" s="9" t="s">
        <v>14</v>
      </c>
      <c r="D5" s="9">
        <v>852</v>
      </c>
      <c r="E5" s="10">
        <v>0.80400000000000005</v>
      </c>
      <c r="F5" s="9">
        <v>167</v>
      </c>
    </row>
    <row r="6" spans="1:6" x14ac:dyDescent="0.25">
      <c r="A6" s="9" t="s">
        <v>19</v>
      </c>
      <c r="B6" s="9" t="s">
        <v>13</v>
      </c>
      <c r="C6" s="9" t="s">
        <v>20</v>
      </c>
      <c r="D6" s="9">
        <v>15</v>
      </c>
      <c r="E6" s="10">
        <v>0.8</v>
      </c>
      <c r="F6" s="9">
        <v>3</v>
      </c>
    </row>
    <row r="7" spans="1:6" x14ac:dyDescent="0.25">
      <c r="A7" s="9" t="s">
        <v>21</v>
      </c>
      <c r="B7" s="9" t="s">
        <v>13</v>
      </c>
      <c r="C7" s="9" t="s">
        <v>22</v>
      </c>
      <c r="D7" s="9">
        <v>661</v>
      </c>
      <c r="E7" s="10">
        <v>0.86799999999999999</v>
      </c>
      <c r="F7" s="9">
        <v>87</v>
      </c>
    </row>
    <row r="8" spans="1:6" x14ac:dyDescent="0.25">
      <c r="A8" s="9" t="s">
        <v>26</v>
      </c>
      <c r="B8" s="9" t="s">
        <v>13</v>
      </c>
      <c r="C8" s="9" t="s">
        <v>27</v>
      </c>
      <c r="D8" s="9">
        <v>807</v>
      </c>
      <c r="E8" s="10">
        <v>0.86</v>
      </c>
      <c r="F8" s="9">
        <v>113</v>
      </c>
    </row>
    <row r="9" spans="1:6" x14ac:dyDescent="0.25">
      <c r="A9" s="9" t="s">
        <v>28</v>
      </c>
      <c r="B9" s="9" t="s">
        <v>13</v>
      </c>
      <c r="C9" s="9" t="s">
        <v>29</v>
      </c>
      <c r="D9" s="9">
        <v>890</v>
      </c>
      <c r="E9" s="10">
        <v>0.77500000000000002</v>
      </c>
      <c r="F9" s="9">
        <v>200</v>
      </c>
    </row>
    <row r="10" spans="1:6" x14ac:dyDescent="0.25">
      <c r="A10" s="9" t="s">
        <v>36</v>
      </c>
      <c r="B10" s="9" t="s">
        <v>37</v>
      </c>
      <c r="C10" s="9" t="s">
        <v>38</v>
      </c>
      <c r="D10" s="9">
        <v>513</v>
      </c>
      <c r="E10" s="10">
        <v>0.75</v>
      </c>
      <c r="F10" s="9">
        <v>128</v>
      </c>
    </row>
    <row r="11" spans="1:6" x14ac:dyDescent="0.25">
      <c r="A11" s="9" t="s">
        <v>39</v>
      </c>
      <c r="B11" s="9" t="s">
        <v>37</v>
      </c>
      <c r="C11" s="9" t="s">
        <v>40</v>
      </c>
      <c r="D11" s="9">
        <v>607</v>
      </c>
      <c r="E11" s="10">
        <v>0.92900000000000005</v>
      </c>
      <c r="F11" s="9">
        <v>43</v>
      </c>
    </row>
    <row r="12" spans="1:6" x14ac:dyDescent="0.25">
      <c r="A12" s="9" t="s">
        <v>45</v>
      </c>
      <c r="B12" s="9" t="s">
        <v>37</v>
      </c>
      <c r="C12" s="9" t="s">
        <v>29</v>
      </c>
      <c r="D12" s="9">
        <v>314</v>
      </c>
      <c r="E12" s="10">
        <v>0.77100000000000002</v>
      </c>
      <c r="F12" s="9">
        <v>72</v>
      </c>
    </row>
    <row r="13" spans="1:6" x14ac:dyDescent="0.25">
      <c r="A13" s="9" t="s">
        <v>47</v>
      </c>
      <c r="B13" s="9" t="s">
        <v>48</v>
      </c>
      <c r="C13" s="9" t="s">
        <v>49</v>
      </c>
      <c r="D13" s="9">
        <v>394</v>
      </c>
      <c r="E13" s="10">
        <v>0.95699999999999996</v>
      </c>
      <c r="F13" s="9">
        <v>17</v>
      </c>
    </row>
    <row r="14" spans="1:6" x14ac:dyDescent="0.25">
      <c r="A14" s="9" t="s">
        <v>53</v>
      </c>
      <c r="B14" s="9" t="s">
        <v>54</v>
      </c>
      <c r="C14" s="9" t="s">
        <v>55</v>
      </c>
      <c r="D14" s="9">
        <v>784</v>
      </c>
      <c r="E14" s="10">
        <v>0.879</v>
      </c>
      <c r="F14" s="9">
        <v>95</v>
      </c>
    </row>
    <row r="15" spans="1:6" x14ac:dyDescent="0.25">
      <c r="A15" s="9" t="s">
        <v>57</v>
      </c>
      <c r="B15" s="9" t="s">
        <v>54</v>
      </c>
      <c r="C15" s="9" t="s">
        <v>58</v>
      </c>
      <c r="D15" s="9">
        <v>509</v>
      </c>
      <c r="E15" s="10">
        <v>0.93300000000000005</v>
      </c>
      <c r="F15" s="9">
        <v>34</v>
      </c>
    </row>
    <row r="16" spans="1:6" x14ac:dyDescent="0.25">
      <c r="A16" s="9" t="s">
        <v>59</v>
      </c>
      <c r="B16" s="9" t="s">
        <v>54</v>
      </c>
      <c r="C16" s="9" t="s">
        <v>38</v>
      </c>
      <c r="D16" s="9">
        <v>587</v>
      </c>
      <c r="E16" s="10">
        <v>0.91300000000000003</v>
      </c>
      <c r="F16" s="9">
        <v>51</v>
      </c>
    </row>
    <row r="17" spans="1:6" x14ac:dyDescent="0.25">
      <c r="A17" s="9" t="s">
        <v>65</v>
      </c>
      <c r="B17" s="9" t="s">
        <v>54</v>
      </c>
      <c r="C17" s="9" t="s">
        <v>66</v>
      </c>
      <c r="D17" s="9">
        <v>510</v>
      </c>
      <c r="E17" s="10">
        <v>0.89200000000000002</v>
      </c>
      <c r="F17" s="9">
        <v>55</v>
      </c>
    </row>
    <row r="18" spans="1:6" x14ac:dyDescent="0.25">
      <c r="A18" s="9" t="s">
        <v>74</v>
      </c>
      <c r="B18" s="9" t="s">
        <v>70</v>
      </c>
      <c r="C18" s="9" t="s">
        <v>75</v>
      </c>
      <c r="D18" s="9">
        <v>456</v>
      </c>
      <c r="E18" s="10">
        <v>0.78900000000000003</v>
      </c>
      <c r="F18" s="9">
        <v>96</v>
      </c>
    </row>
    <row r="19" spans="1:6" x14ac:dyDescent="0.25">
      <c r="A19" s="9" t="s">
        <v>80</v>
      </c>
      <c r="B19" s="9" t="s">
        <v>70</v>
      </c>
      <c r="C19" s="9" t="s">
        <v>14</v>
      </c>
      <c r="D19" s="9">
        <v>653</v>
      </c>
      <c r="E19" s="10">
        <v>0.83</v>
      </c>
      <c r="F19" s="9">
        <v>111</v>
      </c>
    </row>
    <row r="20" spans="1:6" x14ac:dyDescent="0.25">
      <c r="A20" s="9" t="s">
        <v>86</v>
      </c>
      <c r="B20" s="9" t="s">
        <v>84</v>
      </c>
      <c r="C20" s="9" t="s">
        <v>87</v>
      </c>
      <c r="D20" s="9">
        <v>448</v>
      </c>
      <c r="E20" s="10">
        <v>0.86599999999999999</v>
      </c>
      <c r="F20" s="9">
        <v>60</v>
      </c>
    </row>
    <row r="21" spans="1:6" x14ac:dyDescent="0.25">
      <c r="A21" s="9" t="s">
        <v>90</v>
      </c>
      <c r="B21" s="9" t="s">
        <v>89</v>
      </c>
      <c r="C21" s="9" t="s">
        <v>91</v>
      </c>
      <c r="D21" s="9">
        <v>693</v>
      </c>
      <c r="E21" s="10">
        <v>0.88600000000000001</v>
      </c>
      <c r="F21" s="9">
        <v>79</v>
      </c>
    </row>
    <row r="22" spans="1:6" x14ac:dyDescent="0.25">
      <c r="A22" s="9" t="s">
        <v>92</v>
      </c>
      <c r="B22" s="9" t="s">
        <v>93</v>
      </c>
      <c r="C22" s="9" t="s">
        <v>29</v>
      </c>
      <c r="D22" s="9">
        <v>314</v>
      </c>
      <c r="E22" s="10">
        <v>0.89500000000000002</v>
      </c>
      <c r="F22" s="9">
        <v>33</v>
      </c>
    </row>
    <row r="23" spans="1:6" x14ac:dyDescent="0.25">
      <c r="A23" s="9" t="s">
        <v>94</v>
      </c>
      <c r="B23" s="9" t="s">
        <v>95</v>
      </c>
      <c r="C23" s="9" t="s">
        <v>29</v>
      </c>
      <c r="D23" s="9">
        <v>633</v>
      </c>
      <c r="E23" s="10">
        <v>0.92900000000000005</v>
      </c>
      <c r="F23" s="9">
        <v>45</v>
      </c>
    </row>
    <row r="24" spans="1:6" x14ac:dyDescent="0.25">
      <c r="A24" s="9" t="s">
        <v>97</v>
      </c>
      <c r="B24" s="9" t="s">
        <v>95</v>
      </c>
      <c r="C24" s="9" t="s">
        <v>58</v>
      </c>
      <c r="D24" s="9">
        <v>764</v>
      </c>
      <c r="E24" s="10">
        <v>0.89400000000000002</v>
      </c>
      <c r="F24" s="9">
        <v>81</v>
      </c>
    </row>
    <row r="25" spans="1:6" x14ac:dyDescent="0.25">
      <c r="A25" s="9" t="s">
        <v>98</v>
      </c>
      <c r="B25" s="9" t="s">
        <v>99</v>
      </c>
      <c r="C25" s="9" t="s">
        <v>38</v>
      </c>
      <c r="D25" s="9">
        <v>429</v>
      </c>
      <c r="E25" s="10">
        <v>0.95099999999999996</v>
      </c>
      <c r="F25" s="9">
        <v>21</v>
      </c>
    </row>
    <row r="26" spans="1:6" x14ac:dyDescent="0.25">
      <c r="A26" s="9" t="s">
        <v>100</v>
      </c>
      <c r="B26" s="9" t="s">
        <v>101</v>
      </c>
      <c r="C26" s="9" t="s">
        <v>102</v>
      </c>
      <c r="D26" s="9">
        <v>498</v>
      </c>
      <c r="E26" s="10">
        <v>0.93400000000000005</v>
      </c>
      <c r="F26" s="9">
        <v>33</v>
      </c>
    </row>
    <row r="27" spans="1:6" x14ac:dyDescent="0.25">
      <c r="A27" s="9" t="s">
        <v>103</v>
      </c>
      <c r="B27" s="9" t="s">
        <v>104</v>
      </c>
      <c r="C27" s="9" t="s">
        <v>105</v>
      </c>
      <c r="D27" s="9">
        <v>645</v>
      </c>
      <c r="E27" s="10">
        <v>0.878</v>
      </c>
      <c r="F27" s="9">
        <v>79</v>
      </c>
    </row>
    <row r="28" spans="1:6" x14ac:dyDescent="0.25">
      <c r="A28" s="9" t="s">
        <v>111</v>
      </c>
      <c r="B28" s="9" t="s">
        <v>107</v>
      </c>
      <c r="C28" s="9" t="s">
        <v>27</v>
      </c>
      <c r="D28" s="9">
        <v>873</v>
      </c>
      <c r="E28" s="10">
        <v>0.83699999999999997</v>
      </c>
      <c r="F28" s="9">
        <v>142</v>
      </c>
    </row>
    <row r="29" spans="1:6" x14ac:dyDescent="0.25">
      <c r="A29" s="9" t="s">
        <v>112</v>
      </c>
      <c r="B29" s="9" t="s">
        <v>113</v>
      </c>
      <c r="C29" s="9" t="s">
        <v>114</v>
      </c>
      <c r="D29" s="9">
        <v>26</v>
      </c>
      <c r="E29" s="10">
        <v>1</v>
      </c>
      <c r="F29" s="9">
        <v>0</v>
      </c>
    </row>
    <row r="30" spans="1:6" x14ac:dyDescent="0.25">
      <c r="A30" s="9" t="s">
        <v>115</v>
      </c>
      <c r="B30" s="9" t="s">
        <v>116</v>
      </c>
      <c r="C30" s="9" t="s">
        <v>117</v>
      </c>
      <c r="D30" s="9">
        <v>395</v>
      </c>
      <c r="E30" s="10">
        <v>0.95699999999999996</v>
      </c>
      <c r="F30" s="9">
        <v>17</v>
      </c>
    </row>
    <row r="31" spans="1:6" x14ac:dyDescent="0.25">
      <c r="A31" s="9" t="s">
        <v>119</v>
      </c>
      <c r="B31" s="9" t="s">
        <v>116</v>
      </c>
      <c r="C31" s="9" t="s">
        <v>120</v>
      </c>
      <c r="D31" s="9">
        <v>339</v>
      </c>
      <c r="E31" s="10">
        <v>0.94699999999999995</v>
      </c>
      <c r="F31" s="9">
        <v>18</v>
      </c>
    </row>
    <row r="32" spans="1:6" x14ac:dyDescent="0.25">
      <c r="A32" s="9" t="s">
        <v>125</v>
      </c>
      <c r="B32" s="9" t="s">
        <v>116</v>
      </c>
      <c r="C32" s="9" t="s">
        <v>120</v>
      </c>
      <c r="D32" s="9">
        <v>787</v>
      </c>
      <c r="E32" s="10">
        <v>0.93899999999999995</v>
      </c>
      <c r="F32" s="9">
        <v>48</v>
      </c>
    </row>
    <row r="33" spans="1:6" x14ac:dyDescent="0.25">
      <c r="A33" s="9" t="s">
        <v>126</v>
      </c>
      <c r="B33" s="9" t="s">
        <v>116</v>
      </c>
      <c r="C33" s="9" t="s">
        <v>127</v>
      </c>
      <c r="D33" s="9">
        <v>462</v>
      </c>
      <c r="E33" s="10">
        <v>0.877</v>
      </c>
      <c r="F33" s="9">
        <v>57</v>
      </c>
    </row>
    <row r="34" spans="1:6" x14ac:dyDescent="0.25">
      <c r="A34" s="9" t="s">
        <v>130</v>
      </c>
      <c r="B34" s="9" t="s">
        <v>116</v>
      </c>
      <c r="C34" s="9" t="s">
        <v>105</v>
      </c>
      <c r="D34" s="9">
        <v>839</v>
      </c>
      <c r="E34" s="10">
        <v>0.82499999999999996</v>
      </c>
      <c r="F34" s="9">
        <v>147</v>
      </c>
    </row>
    <row r="35" spans="1:6" x14ac:dyDescent="0.25">
      <c r="A35" s="9" t="s">
        <v>138</v>
      </c>
      <c r="B35" s="9" t="s">
        <v>116</v>
      </c>
      <c r="C35" s="9" t="s">
        <v>139</v>
      </c>
      <c r="D35" s="9">
        <v>507</v>
      </c>
      <c r="E35" s="10">
        <v>0.90900000000000003</v>
      </c>
      <c r="F35" s="9">
        <v>46</v>
      </c>
    </row>
    <row r="36" spans="1:6" x14ac:dyDescent="0.25">
      <c r="A36" s="9" t="s">
        <v>140</v>
      </c>
      <c r="B36" s="9" t="s">
        <v>116</v>
      </c>
      <c r="C36" s="9" t="s">
        <v>55</v>
      </c>
      <c r="D36" s="9">
        <v>367</v>
      </c>
      <c r="E36" s="10">
        <v>0.93700000000000006</v>
      </c>
      <c r="F36" s="9">
        <v>23</v>
      </c>
    </row>
    <row r="37" spans="1:6" x14ac:dyDescent="0.25">
      <c r="A37" s="9" t="s">
        <v>141</v>
      </c>
      <c r="B37" s="9" t="s">
        <v>116</v>
      </c>
      <c r="C37" s="9" t="s">
        <v>142</v>
      </c>
      <c r="D37" s="9">
        <v>11</v>
      </c>
      <c r="E37" s="10">
        <v>0.90900000000000003</v>
      </c>
      <c r="F37" s="9">
        <v>1</v>
      </c>
    </row>
    <row r="38" spans="1:6" x14ac:dyDescent="0.25">
      <c r="A38" s="9" t="s">
        <v>143</v>
      </c>
      <c r="B38" s="9" t="s">
        <v>116</v>
      </c>
      <c r="C38" s="9" t="s">
        <v>144</v>
      </c>
      <c r="D38" s="9">
        <v>363</v>
      </c>
      <c r="E38" s="10">
        <v>0.95599999999999996</v>
      </c>
      <c r="F38" s="9">
        <v>16</v>
      </c>
    </row>
    <row r="39" spans="1:6" x14ac:dyDescent="0.25">
      <c r="A39" s="9" t="s">
        <v>145</v>
      </c>
      <c r="B39" s="9" t="s">
        <v>116</v>
      </c>
      <c r="C39" s="9" t="s">
        <v>91</v>
      </c>
      <c r="D39" s="9">
        <v>392</v>
      </c>
      <c r="E39" s="10">
        <v>0.96899999999999997</v>
      </c>
      <c r="F39" s="9">
        <v>12</v>
      </c>
    </row>
    <row r="40" spans="1:6" x14ac:dyDescent="0.25">
      <c r="A40" s="9" t="s">
        <v>147</v>
      </c>
      <c r="B40" s="9" t="s">
        <v>116</v>
      </c>
      <c r="C40" s="9" t="s">
        <v>148</v>
      </c>
      <c r="D40" s="9">
        <v>216</v>
      </c>
      <c r="E40" s="10">
        <v>0.995</v>
      </c>
      <c r="F40" s="9">
        <v>1</v>
      </c>
    </row>
    <row r="41" spans="1:6" x14ac:dyDescent="0.25">
      <c r="A41" s="9" t="s">
        <v>154</v>
      </c>
      <c r="B41" s="9" t="s">
        <v>116</v>
      </c>
      <c r="C41" s="9" t="s">
        <v>27</v>
      </c>
      <c r="D41" s="9">
        <v>620</v>
      </c>
      <c r="E41" s="10">
        <v>0.94799999999999995</v>
      </c>
      <c r="F41" s="9">
        <v>32</v>
      </c>
    </row>
    <row r="42" spans="1:6" x14ac:dyDescent="0.25">
      <c r="A42" s="9" t="s">
        <v>170</v>
      </c>
      <c r="B42" s="9" t="s">
        <v>116</v>
      </c>
      <c r="C42" s="9" t="s">
        <v>171</v>
      </c>
      <c r="D42" s="9">
        <v>36</v>
      </c>
      <c r="E42" s="10">
        <v>1</v>
      </c>
      <c r="F42" s="9">
        <v>0</v>
      </c>
    </row>
    <row r="43" spans="1:6" x14ac:dyDescent="0.25">
      <c r="A43" s="9" t="s">
        <v>172</v>
      </c>
      <c r="B43" s="9" t="s">
        <v>116</v>
      </c>
      <c r="C43" s="9" t="s">
        <v>49</v>
      </c>
      <c r="D43" s="9">
        <v>498</v>
      </c>
      <c r="E43" s="10">
        <v>0.91600000000000004</v>
      </c>
      <c r="F43" s="9">
        <v>42</v>
      </c>
    </row>
    <row r="44" spans="1:6" x14ac:dyDescent="0.25">
      <c r="A44" s="9" t="s">
        <v>173</v>
      </c>
      <c r="B44" s="9" t="s">
        <v>116</v>
      </c>
      <c r="C44" s="9" t="s">
        <v>174</v>
      </c>
      <c r="D44" s="9">
        <v>649</v>
      </c>
      <c r="E44" s="10">
        <v>0.93200000000000005</v>
      </c>
      <c r="F44" s="9">
        <v>44</v>
      </c>
    </row>
    <row r="45" spans="1:6" x14ac:dyDescent="0.25">
      <c r="A45" s="9" t="s">
        <v>177</v>
      </c>
      <c r="B45" s="9" t="s">
        <v>116</v>
      </c>
      <c r="C45" s="9" t="s">
        <v>178</v>
      </c>
      <c r="D45" s="9">
        <v>393</v>
      </c>
      <c r="E45" s="10">
        <v>0.93899999999999995</v>
      </c>
      <c r="F45" s="9">
        <v>24</v>
      </c>
    </row>
    <row r="46" spans="1:6" x14ac:dyDescent="0.25">
      <c r="A46" s="9" t="s">
        <v>179</v>
      </c>
      <c r="B46" s="9" t="s">
        <v>180</v>
      </c>
      <c r="C46" s="9" t="s">
        <v>14</v>
      </c>
      <c r="D46" s="9">
        <v>592</v>
      </c>
      <c r="E46" s="10">
        <v>0.85099999999999998</v>
      </c>
      <c r="F46" s="9">
        <v>88</v>
      </c>
    </row>
    <row r="47" spans="1:6" x14ac:dyDescent="0.25">
      <c r="A47" s="9" t="s">
        <v>181</v>
      </c>
      <c r="B47" s="9" t="s">
        <v>182</v>
      </c>
      <c r="C47" s="9" t="s">
        <v>183</v>
      </c>
      <c r="D47" s="9">
        <v>651</v>
      </c>
      <c r="E47" s="10">
        <v>0.97499999999999998</v>
      </c>
      <c r="F47" s="9">
        <v>16</v>
      </c>
    </row>
    <row r="48" spans="1:6" x14ac:dyDescent="0.25">
      <c r="A48" s="9" t="s">
        <v>186</v>
      </c>
      <c r="B48" s="9" t="s">
        <v>182</v>
      </c>
      <c r="C48" s="9" t="s">
        <v>187</v>
      </c>
      <c r="D48" s="9">
        <v>627</v>
      </c>
      <c r="E48" s="10">
        <v>0.90600000000000003</v>
      </c>
      <c r="F48" s="9">
        <v>59</v>
      </c>
    </row>
    <row r="49" spans="1:6" x14ac:dyDescent="0.25">
      <c r="A49" s="13" t="s">
        <v>212</v>
      </c>
      <c r="B49" s="14"/>
      <c r="C49" s="14"/>
      <c r="D49" s="13">
        <f>SUM(D5:D48)</f>
        <v>22619</v>
      </c>
      <c r="E49" s="14"/>
      <c r="F49" s="13">
        <f>SUM(F5:F48)</f>
        <v>2536</v>
      </c>
    </row>
    <row r="51" spans="1:6" x14ac:dyDescent="0.25">
      <c r="A51" s="12" t="s">
        <v>213</v>
      </c>
    </row>
    <row r="52" spans="1:6" x14ac:dyDescent="0.25">
      <c r="A52" s="1" t="s">
        <v>1</v>
      </c>
      <c r="B52" s="1" t="s">
        <v>2</v>
      </c>
      <c r="C52" s="1" t="s">
        <v>3</v>
      </c>
      <c r="D52" s="1" t="s">
        <v>4</v>
      </c>
      <c r="E52" s="1" t="s">
        <v>5</v>
      </c>
      <c r="F52" s="1" t="s">
        <v>6</v>
      </c>
    </row>
    <row r="53" spans="1:6" x14ac:dyDescent="0.25">
      <c r="A53" s="9" t="s">
        <v>42</v>
      </c>
      <c r="B53" s="9" t="s">
        <v>37</v>
      </c>
      <c r="C53" s="9" t="s">
        <v>43</v>
      </c>
      <c r="D53" s="9">
        <v>585</v>
      </c>
      <c r="E53" s="10">
        <v>0.92100000000000004</v>
      </c>
      <c r="F53" s="9">
        <v>46</v>
      </c>
    </row>
    <row r="54" spans="1:6" x14ac:dyDescent="0.25">
      <c r="A54" s="9" t="s">
        <v>46</v>
      </c>
      <c r="B54" s="9" t="s">
        <v>37</v>
      </c>
      <c r="C54" s="9" t="s">
        <v>43</v>
      </c>
      <c r="D54" s="9">
        <v>998</v>
      </c>
      <c r="E54" s="10">
        <v>0.82199999999999995</v>
      </c>
      <c r="F54" s="9">
        <v>178</v>
      </c>
    </row>
    <row r="55" spans="1:6" x14ac:dyDescent="0.25">
      <c r="A55" s="9" t="s">
        <v>56</v>
      </c>
      <c r="B55" s="9" t="s">
        <v>54</v>
      </c>
      <c r="C55" s="9" t="s">
        <v>43</v>
      </c>
      <c r="D55" s="9">
        <v>645</v>
      </c>
      <c r="E55" s="10">
        <v>0.90900000000000003</v>
      </c>
      <c r="F55" s="9">
        <v>59</v>
      </c>
    </row>
    <row r="56" spans="1:6" x14ac:dyDescent="0.25">
      <c r="A56" s="9" t="s">
        <v>60</v>
      </c>
      <c r="B56" s="9" t="s">
        <v>54</v>
      </c>
      <c r="C56" s="9" t="s">
        <v>43</v>
      </c>
      <c r="D56" s="9">
        <v>502</v>
      </c>
      <c r="E56" s="10">
        <v>0.90400000000000003</v>
      </c>
      <c r="F56" s="9">
        <v>48</v>
      </c>
    </row>
    <row r="57" spans="1:6" x14ac:dyDescent="0.25">
      <c r="A57" s="9" t="s">
        <v>67</v>
      </c>
      <c r="B57" s="9" t="s">
        <v>68</v>
      </c>
      <c r="C57" s="9" t="s">
        <v>43</v>
      </c>
      <c r="D57" s="9">
        <v>713</v>
      </c>
      <c r="E57" s="10">
        <v>0.89200000000000002</v>
      </c>
      <c r="F57" s="9">
        <v>77</v>
      </c>
    </row>
    <row r="58" spans="1:6" x14ac:dyDescent="0.25">
      <c r="A58" s="9" t="s">
        <v>69</v>
      </c>
      <c r="B58" s="9" t="s">
        <v>70</v>
      </c>
      <c r="C58" s="9" t="s">
        <v>43</v>
      </c>
      <c r="D58" s="9">
        <v>1114</v>
      </c>
      <c r="E58" s="10">
        <v>0.75</v>
      </c>
      <c r="F58" s="9">
        <v>278</v>
      </c>
    </row>
    <row r="59" spans="1:6" x14ac:dyDescent="0.25">
      <c r="A59" s="9" t="s">
        <v>81</v>
      </c>
      <c r="B59" s="9" t="s">
        <v>70</v>
      </c>
      <c r="C59" s="9" t="s">
        <v>82</v>
      </c>
      <c r="D59" s="9">
        <v>415</v>
      </c>
      <c r="E59" s="10">
        <v>0.81</v>
      </c>
      <c r="F59" s="9">
        <v>79</v>
      </c>
    </row>
    <row r="60" spans="1:6" x14ac:dyDescent="0.25">
      <c r="A60" s="9" t="s">
        <v>83</v>
      </c>
      <c r="B60" s="9" t="s">
        <v>84</v>
      </c>
      <c r="C60" s="9" t="s">
        <v>85</v>
      </c>
      <c r="D60" s="9">
        <v>218</v>
      </c>
      <c r="E60" s="10">
        <v>0.89400000000000002</v>
      </c>
      <c r="F60" s="9">
        <v>23</v>
      </c>
    </row>
    <row r="61" spans="1:6" x14ac:dyDescent="0.25">
      <c r="A61" s="9" t="s">
        <v>88</v>
      </c>
      <c r="B61" s="9" t="s">
        <v>89</v>
      </c>
      <c r="C61" s="9" t="s">
        <v>43</v>
      </c>
      <c r="D61" s="9">
        <v>533</v>
      </c>
      <c r="E61" s="10">
        <v>0.88</v>
      </c>
      <c r="F61" s="9">
        <v>64</v>
      </c>
    </row>
    <row r="62" spans="1:6" x14ac:dyDescent="0.25">
      <c r="A62" s="9" t="s">
        <v>96</v>
      </c>
      <c r="B62" s="9" t="s">
        <v>95</v>
      </c>
      <c r="C62" s="9" t="s">
        <v>43</v>
      </c>
      <c r="D62" s="9">
        <v>764</v>
      </c>
      <c r="E62" s="10">
        <v>0.93100000000000005</v>
      </c>
      <c r="F62" s="9">
        <v>53</v>
      </c>
    </row>
    <row r="63" spans="1:6" x14ac:dyDescent="0.25">
      <c r="A63" s="9" t="s">
        <v>110</v>
      </c>
      <c r="B63" s="9" t="s">
        <v>107</v>
      </c>
      <c r="C63" s="9" t="s">
        <v>43</v>
      </c>
      <c r="D63" s="9">
        <v>779</v>
      </c>
      <c r="E63" s="10">
        <v>0.94199999999999995</v>
      </c>
      <c r="F63" s="9">
        <v>45</v>
      </c>
    </row>
    <row r="64" spans="1:6" x14ac:dyDescent="0.25">
      <c r="A64" s="9" t="s">
        <v>121</v>
      </c>
      <c r="B64" s="9" t="s">
        <v>116</v>
      </c>
      <c r="C64" s="9" t="s">
        <v>43</v>
      </c>
      <c r="D64" s="9">
        <v>640</v>
      </c>
      <c r="E64" s="10">
        <v>0.95</v>
      </c>
      <c r="F64" s="9">
        <v>32</v>
      </c>
    </row>
    <row r="65" spans="1:6" x14ac:dyDescent="0.25">
      <c r="A65" s="9" t="s">
        <v>124</v>
      </c>
      <c r="B65" s="9" t="s">
        <v>116</v>
      </c>
      <c r="C65" s="9" t="s">
        <v>43</v>
      </c>
      <c r="D65" s="9">
        <v>561</v>
      </c>
      <c r="E65" s="10">
        <v>0.97299999999999998</v>
      </c>
      <c r="F65" s="9">
        <v>15</v>
      </c>
    </row>
    <row r="66" spans="1:6" x14ac:dyDescent="0.25">
      <c r="A66" s="9" t="s">
        <v>131</v>
      </c>
      <c r="B66" s="9" t="s">
        <v>116</v>
      </c>
      <c r="C66" s="9" t="s">
        <v>43</v>
      </c>
      <c r="D66" s="9">
        <v>341</v>
      </c>
      <c r="E66" s="10">
        <v>0.90300000000000002</v>
      </c>
      <c r="F66" s="9">
        <v>33</v>
      </c>
    </row>
    <row r="67" spans="1:6" x14ac:dyDescent="0.25">
      <c r="A67" s="9" t="s">
        <v>146</v>
      </c>
      <c r="B67" s="9" t="s">
        <v>116</v>
      </c>
      <c r="C67" s="9" t="s">
        <v>43</v>
      </c>
      <c r="D67" s="9">
        <v>957</v>
      </c>
      <c r="E67" s="10">
        <v>0.96199999999999997</v>
      </c>
      <c r="F67" s="9">
        <v>36</v>
      </c>
    </row>
    <row r="68" spans="1:6" x14ac:dyDescent="0.25">
      <c r="A68" s="9" t="s">
        <v>185</v>
      </c>
      <c r="B68" s="9" t="s">
        <v>182</v>
      </c>
      <c r="C68" s="9" t="s">
        <v>43</v>
      </c>
      <c r="D68" s="9">
        <v>699</v>
      </c>
      <c r="E68" s="10">
        <v>0.95</v>
      </c>
      <c r="F68" s="9">
        <v>35</v>
      </c>
    </row>
    <row r="69" spans="1:6" x14ac:dyDescent="0.25">
      <c r="A69" s="13" t="s">
        <v>214</v>
      </c>
      <c r="B69" s="14"/>
      <c r="C69" s="14"/>
      <c r="D69" s="13">
        <f>SUM(D53:D68)</f>
        <v>10464</v>
      </c>
      <c r="E69" s="14"/>
      <c r="F69" s="13">
        <f>SUM(F53:F68)</f>
        <v>1101</v>
      </c>
    </row>
    <row r="71" spans="1:6" x14ac:dyDescent="0.25">
      <c r="A71" s="12" t="s">
        <v>215</v>
      </c>
    </row>
    <row r="72" spans="1:6" x14ac:dyDescent="0.25">
      <c r="A72" s="1" t="s">
        <v>1</v>
      </c>
      <c r="B72" s="1" t="s">
        <v>2</v>
      </c>
      <c r="C72" s="1" t="s">
        <v>3</v>
      </c>
      <c r="D72" s="1" t="s">
        <v>4</v>
      </c>
      <c r="E72" s="1" t="s">
        <v>5</v>
      </c>
      <c r="F72" s="1" t="s">
        <v>6</v>
      </c>
    </row>
    <row r="73" spans="1:6" x14ac:dyDescent="0.25">
      <c r="A73" s="9" t="s">
        <v>16</v>
      </c>
      <c r="B73" s="9" t="s">
        <v>13</v>
      </c>
      <c r="C73" s="9" t="s">
        <v>17</v>
      </c>
      <c r="D73" s="9">
        <v>2781</v>
      </c>
      <c r="E73" s="10">
        <v>0.91500000000000004</v>
      </c>
      <c r="F73" s="9">
        <v>236</v>
      </c>
    </row>
    <row r="74" spans="1:6" x14ac:dyDescent="0.25">
      <c r="A74" s="9" t="s">
        <v>35</v>
      </c>
      <c r="B74" s="9" t="s">
        <v>31</v>
      </c>
      <c r="C74" s="9" t="s">
        <v>17</v>
      </c>
      <c r="D74" s="9">
        <v>516</v>
      </c>
      <c r="E74" s="10">
        <v>0.93600000000000005</v>
      </c>
      <c r="F74" s="9">
        <v>33</v>
      </c>
    </row>
    <row r="75" spans="1:6" x14ac:dyDescent="0.25">
      <c r="A75" s="9" t="s">
        <v>41</v>
      </c>
      <c r="B75" s="9" t="s">
        <v>37</v>
      </c>
      <c r="C75" s="9" t="s">
        <v>17</v>
      </c>
      <c r="D75" s="9">
        <v>715</v>
      </c>
      <c r="E75" s="10">
        <v>0.95099999999999996</v>
      </c>
      <c r="F75" s="9">
        <v>35</v>
      </c>
    </row>
    <row r="76" spans="1:6" x14ac:dyDescent="0.25">
      <c r="A76" s="9" t="s">
        <v>61</v>
      </c>
      <c r="B76" s="9" t="s">
        <v>54</v>
      </c>
      <c r="C76" s="9" t="s">
        <v>62</v>
      </c>
      <c r="D76" s="9">
        <v>880</v>
      </c>
      <c r="E76" s="10">
        <v>0.90100000000000002</v>
      </c>
      <c r="F76" s="9">
        <v>87</v>
      </c>
    </row>
    <row r="77" spans="1:6" x14ac:dyDescent="0.25">
      <c r="A77" s="9" t="s">
        <v>63</v>
      </c>
      <c r="B77" s="9" t="s">
        <v>54</v>
      </c>
      <c r="C77" s="9" t="s">
        <v>64</v>
      </c>
      <c r="D77" s="9">
        <v>2350</v>
      </c>
      <c r="E77" s="10">
        <v>0.93600000000000005</v>
      </c>
      <c r="F77" s="9">
        <v>150</v>
      </c>
    </row>
    <row r="78" spans="1:6" x14ac:dyDescent="0.25">
      <c r="A78" s="9" t="s">
        <v>106</v>
      </c>
      <c r="B78" s="9" t="s">
        <v>107</v>
      </c>
      <c r="C78" s="9" t="s">
        <v>62</v>
      </c>
      <c r="D78" s="9">
        <v>906</v>
      </c>
      <c r="E78" s="10">
        <v>0.93500000000000005</v>
      </c>
      <c r="F78" s="9">
        <v>59</v>
      </c>
    </row>
    <row r="79" spans="1:6" x14ac:dyDescent="0.25">
      <c r="A79" s="9" t="s">
        <v>108</v>
      </c>
      <c r="B79" s="9" t="s">
        <v>107</v>
      </c>
      <c r="C79" s="9" t="s">
        <v>109</v>
      </c>
      <c r="D79" s="9">
        <v>2870</v>
      </c>
      <c r="E79" s="10">
        <v>0.95899999999999996</v>
      </c>
      <c r="F79" s="9">
        <v>118</v>
      </c>
    </row>
    <row r="80" spans="1:6" x14ac:dyDescent="0.25">
      <c r="A80" s="9" t="s">
        <v>118</v>
      </c>
      <c r="B80" s="9" t="s">
        <v>116</v>
      </c>
      <c r="C80" s="9" t="s">
        <v>17</v>
      </c>
      <c r="D80" s="9">
        <v>875</v>
      </c>
      <c r="E80" s="10">
        <v>0.96699999999999997</v>
      </c>
      <c r="F80" s="9">
        <v>29</v>
      </c>
    </row>
    <row r="81" spans="1:6" x14ac:dyDescent="0.25">
      <c r="A81" s="9" t="s">
        <v>161</v>
      </c>
      <c r="B81" s="9" t="s">
        <v>116</v>
      </c>
      <c r="C81" s="9" t="s">
        <v>17</v>
      </c>
      <c r="D81" s="9">
        <v>33</v>
      </c>
      <c r="E81" s="10">
        <v>0.75800000000000001</v>
      </c>
      <c r="F81" s="9">
        <v>8</v>
      </c>
    </row>
    <row r="82" spans="1:6" x14ac:dyDescent="0.25">
      <c r="A82" s="9" t="s">
        <v>166</v>
      </c>
      <c r="B82" s="9" t="s">
        <v>116</v>
      </c>
      <c r="C82" s="9" t="s">
        <v>167</v>
      </c>
      <c r="D82" s="9">
        <v>2152</v>
      </c>
      <c r="E82" s="10">
        <v>0.96299999999999997</v>
      </c>
      <c r="F82" s="9">
        <v>80</v>
      </c>
    </row>
    <row r="83" spans="1:6" x14ac:dyDescent="0.25">
      <c r="A83" s="9" t="s">
        <v>184</v>
      </c>
      <c r="B83" s="9" t="s">
        <v>182</v>
      </c>
      <c r="C83" s="9" t="s">
        <v>17</v>
      </c>
      <c r="D83" s="9">
        <v>852</v>
      </c>
      <c r="E83" s="10">
        <v>0.97299999999999998</v>
      </c>
      <c r="F83" s="9">
        <v>23</v>
      </c>
    </row>
    <row r="84" spans="1:6" x14ac:dyDescent="0.25">
      <c r="A84" s="13" t="s">
        <v>216</v>
      </c>
      <c r="B84" s="14"/>
      <c r="C84" s="14"/>
      <c r="D84" s="13">
        <f>SUM(D73:D83)</f>
        <v>14930</v>
      </c>
      <c r="E84" s="14"/>
      <c r="F84" s="13">
        <f>SUM(F73:F83)</f>
        <v>858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zoomScaleNormal="100" workbookViewId="0"/>
  </sheetViews>
  <sheetFormatPr defaultColWidth="8.7109375" defaultRowHeight="15" x14ac:dyDescent="0.25"/>
  <cols>
    <col min="1" max="1" width="35" customWidth="1"/>
    <col min="2" max="2" width="29" customWidth="1"/>
    <col min="3" max="3" width="15" customWidth="1"/>
    <col min="4" max="4" width="11" customWidth="1"/>
    <col min="5" max="6" width="15" customWidth="1"/>
  </cols>
  <sheetData>
    <row r="1" spans="1:6" ht="15.75" x14ac:dyDescent="0.25">
      <c r="A1" s="8" t="s">
        <v>217</v>
      </c>
    </row>
    <row r="3" spans="1:6" x14ac:dyDescent="0.25">
      <c r="A3" s="1" t="s">
        <v>218</v>
      </c>
      <c r="B3" s="1" t="s">
        <v>219</v>
      </c>
      <c r="C3" s="1" t="s">
        <v>220</v>
      </c>
      <c r="D3" s="1" t="s">
        <v>4</v>
      </c>
      <c r="E3" s="1" t="s">
        <v>6</v>
      </c>
      <c r="F3" s="1" t="s">
        <v>221</v>
      </c>
    </row>
    <row r="4" spans="1:6" x14ac:dyDescent="0.25">
      <c r="A4" s="12" t="s">
        <v>222</v>
      </c>
    </row>
    <row r="5" spans="1:6" x14ac:dyDescent="0.25">
      <c r="A5" s="9"/>
      <c r="B5" s="9" t="s">
        <v>223</v>
      </c>
      <c r="C5" s="9">
        <v>44</v>
      </c>
      <c r="D5" s="9">
        <v>22619</v>
      </c>
      <c r="E5" s="9">
        <v>2536</v>
      </c>
      <c r="F5" s="9">
        <v>88.8</v>
      </c>
    </row>
    <row r="6" spans="1:6" x14ac:dyDescent="0.25">
      <c r="A6" s="9"/>
      <c r="B6" s="9" t="s">
        <v>224</v>
      </c>
      <c r="C6" s="9" t="s">
        <v>225</v>
      </c>
      <c r="D6" s="9">
        <v>4639</v>
      </c>
      <c r="E6" s="9">
        <v>1070</v>
      </c>
      <c r="F6" s="9">
        <v>76.900000000000006</v>
      </c>
    </row>
    <row r="7" spans="1:6" x14ac:dyDescent="0.25">
      <c r="A7" s="13" t="s">
        <v>226</v>
      </c>
      <c r="B7" s="13"/>
      <c r="C7" s="13"/>
      <c r="D7" s="13">
        <v>27258</v>
      </c>
      <c r="E7" s="13">
        <v>3606</v>
      </c>
      <c r="F7" s="13">
        <v>86.8</v>
      </c>
    </row>
    <row r="9" spans="1:6" x14ac:dyDescent="0.25">
      <c r="A9" s="12" t="s">
        <v>227</v>
      </c>
    </row>
    <row r="10" spans="1:6" x14ac:dyDescent="0.25">
      <c r="A10" s="9"/>
      <c r="B10" s="9" t="s">
        <v>228</v>
      </c>
      <c r="C10" s="9">
        <v>16</v>
      </c>
      <c r="D10" s="9">
        <v>10464</v>
      </c>
      <c r="E10" s="9">
        <v>1101</v>
      </c>
      <c r="F10" s="9">
        <v>89.5</v>
      </c>
    </row>
    <row r="11" spans="1:6" x14ac:dyDescent="0.25">
      <c r="A11" s="9"/>
      <c r="B11" s="9" t="s">
        <v>224</v>
      </c>
      <c r="C11" s="9" t="s">
        <v>225</v>
      </c>
      <c r="D11" s="9">
        <v>2586</v>
      </c>
      <c r="E11" s="9">
        <v>555</v>
      </c>
      <c r="F11" s="9">
        <v>78.5</v>
      </c>
    </row>
    <row r="12" spans="1:6" x14ac:dyDescent="0.25">
      <c r="A12" s="13" t="s">
        <v>229</v>
      </c>
      <c r="B12" s="13"/>
      <c r="C12" s="13"/>
      <c r="D12" s="13">
        <v>13050</v>
      </c>
      <c r="E12" s="13">
        <v>1656</v>
      </c>
      <c r="F12" s="13">
        <v>87.3</v>
      </c>
    </row>
    <row r="14" spans="1:6" x14ac:dyDescent="0.25">
      <c r="A14" s="12" t="s">
        <v>230</v>
      </c>
    </row>
    <row r="15" spans="1:6" x14ac:dyDescent="0.25">
      <c r="A15" s="9"/>
      <c r="B15" s="9" t="s">
        <v>231</v>
      </c>
      <c r="C15" s="9">
        <v>11</v>
      </c>
      <c r="D15" s="9">
        <v>14930</v>
      </c>
      <c r="E15" s="9">
        <v>858</v>
      </c>
      <c r="F15" s="9">
        <v>94.3</v>
      </c>
    </row>
    <row r="16" spans="1:6" x14ac:dyDescent="0.25">
      <c r="A16" s="9"/>
      <c r="B16" s="9" t="s">
        <v>224</v>
      </c>
      <c r="C16" s="9" t="s">
        <v>225</v>
      </c>
      <c r="D16" s="9">
        <v>2043</v>
      </c>
      <c r="E16" s="9">
        <v>306</v>
      </c>
      <c r="F16" s="9">
        <v>85</v>
      </c>
    </row>
    <row r="17" spans="1:6" x14ac:dyDescent="0.25">
      <c r="A17" s="13" t="s">
        <v>232</v>
      </c>
      <c r="B17" s="13"/>
      <c r="C17" s="13"/>
      <c r="D17" s="13">
        <v>16973</v>
      </c>
      <c r="E17" s="13">
        <v>1164</v>
      </c>
      <c r="F17" s="13">
        <v>93.1</v>
      </c>
    </row>
    <row r="19" spans="1:6" ht="15.75" x14ac:dyDescent="0.25">
      <c r="A19" s="15" t="s">
        <v>233</v>
      </c>
      <c r="B19" s="14"/>
      <c r="C19" s="13">
        <v>93</v>
      </c>
      <c r="D19" s="16">
        <v>57281</v>
      </c>
      <c r="E19" s="16">
        <v>6426</v>
      </c>
      <c r="F19" s="16">
        <v>88.8</v>
      </c>
    </row>
    <row r="21" spans="1:6" x14ac:dyDescent="0.25">
      <c r="A21" s="7" t="s">
        <v>234</v>
      </c>
    </row>
    <row r="22" spans="1:6" x14ac:dyDescent="0.25">
      <c r="A22" s="7" t="s">
        <v>235</v>
      </c>
    </row>
    <row r="23" spans="1:6" x14ac:dyDescent="0.25">
      <c r="A23" s="7" t="s">
        <v>236</v>
      </c>
    </row>
    <row r="24" spans="1:6" x14ac:dyDescent="0.25">
      <c r="A24" s="7" t="s">
        <v>237</v>
      </c>
    </row>
    <row r="25" spans="1:6" x14ac:dyDescent="0.25">
      <c r="A25" s="7" t="s">
        <v>238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DC099-B6B0-4748-A2AE-D893A7518468}">
  <dimension ref="A1:F131"/>
  <sheetViews>
    <sheetView tabSelected="1" workbookViewId="0">
      <selection activeCell="M19" sqref="M19"/>
    </sheetView>
  </sheetViews>
  <sheetFormatPr defaultRowHeight="15" x14ac:dyDescent="0.25"/>
  <cols>
    <col min="1" max="1" width="14" customWidth="1"/>
  </cols>
  <sheetData>
    <row r="1" spans="1:6" x14ac:dyDescent="0.25">
      <c r="A1" t="s">
        <v>239</v>
      </c>
      <c r="B1" t="s">
        <v>240</v>
      </c>
      <c r="C1" t="s">
        <v>241</v>
      </c>
      <c r="D1" t="s">
        <v>242</v>
      </c>
      <c r="E1" t="s">
        <v>243</v>
      </c>
      <c r="F1" t="s">
        <v>244</v>
      </c>
    </row>
    <row r="2" spans="1:6" x14ac:dyDescent="0.25">
      <c r="A2" s="17">
        <v>45938</v>
      </c>
      <c r="B2">
        <v>7</v>
      </c>
      <c r="C2" t="s">
        <v>245</v>
      </c>
      <c r="E2" t="s">
        <v>246</v>
      </c>
      <c r="F2">
        <v>13</v>
      </c>
    </row>
    <row r="3" spans="1:6" x14ac:dyDescent="0.25">
      <c r="A3" s="17">
        <v>45938</v>
      </c>
      <c r="B3">
        <v>7</v>
      </c>
      <c r="C3" t="s">
        <v>130</v>
      </c>
      <c r="E3" t="s">
        <v>247</v>
      </c>
      <c r="F3">
        <v>13</v>
      </c>
    </row>
    <row r="4" spans="1:6" x14ac:dyDescent="0.25">
      <c r="A4" s="17">
        <v>45944</v>
      </c>
      <c r="B4">
        <v>13</v>
      </c>
      <c r="C4" t="s">
        <v>245</v>
      </c>
      <c r="D4">
        <v>139</v>
      </c>
      <c r="E4" t="s">
        <v>248</v>
      </c>
      <c r="F4">
        <v>19</v>
      </c>
    </row>
    <row r="5" spans="1:6" x14ac:dyDescent="0.25">
      <c r="A5" s="17">
        <v>45944</v>
      </c>
      <c r="B5">
        <v>13</v>
      </c>
      <c r="C5" t="s">
        <v>130</v>
      </c>
      <c r="D5">
        <v>139</v>
      </c>
      <c r="E5" t="s">
        <v>249</v>
      </c>
      <c r="F5">
        <v>19</v>
      </c>
    </row>
    <row r="6" spans="1:6" x14ac:dyDescent="0.25">
      <c r="A6" s="17">
        <v>45951</v>
      </c>
      <c r="B6">
        <v>20</v>
      </c>
      <c r="C6" t="s">
        <v>245</v>
      </c>
      <c r="D6">
        <v>0</v>
      </c>
      <c r="E6" t="s">
        <v>250</v>
      </c>
      <c r="F6">
        <v>26</v>
      </c>
    </row>
    <row r="7" spans="1:6" x14ac:dyDescent="0.25">
      <c r="A7" s="17">
        <v>45952</v>
      </c>
      <c r="B7">
        <v>22</v>
      </c>
      <c r="C7" t="s">
        <v>130</v>
      </c>
      <c r="D7">
        <v>0</v>
      </c>
      <c r="E7" t="s">
        <v>251</v>
      </c>
      <c r="F7">
        <v>27</v>
      </c>
    </row>
    <row r="8" spans="1:6" x14ac:dyDescent="0.25">
      <c r="A8" s="17">
        <v>45982</v>
      </c>
      <c r="B8">
        <v>52</v>
      </c>
      <c r="C8" t="s">
        <v>90</v>
      </c>
      <c r="D8">
        <v>57</v>
      </c>
      <c r="E8" t="s">
        <v>252</v>
      </c>
      <c r="F8">
        <v>57</v>
      </c>
    </row>
    <row r="9" spans="1:6" x14ac:dyDescent="0.25">
      <c r="A9" s="17">
        <v>45982</v>
      </c>
      <c r="B9">
        <v>52</v>
      </c>
      <c r="C9" t="s">
        <v>69</v>
      </c>
      <c r="D9">
        <v>55</v>
      </c>
      <c r="E9" t="s">
        <v>252</v>
      </c>
      <c r="F9">
        <v>57</v>
      </c>
    </row>
    <row r="10" spans="1:6" x14ac:dyDescent="0.25">
      <c r="A10" s="17">
        <v>45982</v>
      </c>
      <c r="B10">
        <v>52</v>
      </c>
      <c r="C10" t="s">
        <v>253</v>
      </c>
      <c r="D10">
        <v>1</v>
      </c>
      <c r="E10" t="s">
        <v>254</v>
      </c>
      <c r="F10">
        <v>57</v>
      </c>
    </row>
    <row r="11" spans="1:6" x14ac:dyDescent="0.25">
      <c r="A11" s="17">
        <v>45993</v>
      </c>
      <c r="B11">
        <v>76</v>
      </c>
      <c r="C11" t="s">
        <v>255</v>
      </c>
      <c r="D11">
        <v>40</v>
      </c>
      <c r="E11" t="s">
        <v>256</v>
      </c>
      <c r="F11">
        <v>68</v>
      </c>
    </row>
    <row r="12" spans="1:6" x14ac:dyDescent="0.25">
      <c r="A12" s="17">
        <v>45993</v>
      </c>
      <c r="B12">
        <v>76</v>
      </c>
      <c r="C12" t="s">
        <v>257</v>
      </c>
      <c r="D12">
        <v>13</v>
      </c>
      <c r="E12" t="s">
        <v>258</v>
      </c>
      <c r="F12">
        <v>68</v>
      </c>
    </row>
    <row r="13" spans="1:6" x14ac:dyDescent="0.25">
      <c r="A13" s="17">
        <v>45993</v>
      </c>
      <c r="B13">
        <v>76</v>
      </c>
      <c r="C13" t="s">
        <v>71</v>
      </c>
      <c r="D13">
        <v>5</v>
      </c>
      <c r="E13" t="s">
        <v>258</v>
      </c>
      <c r="F13">
        <v>68</v>
      </c>
    </row>
    <row r="14" spans="1:6" x14ac:dyDescent="0.25">
      <c r="A14" s="17">
        <v>45993</v>
      </c>
      <c r="B14">
        <v>76</v>
      </c>
      <c r="C14" t="s">
        <v>65</v>
      </c>
      <c r="D14">
        <v>17</v>
      </c>
      <c r="E14" t="s">
        <v>259</v>
      </c>
      <c r="F14">
        <v>68</v>
      </c>
    </row>
    <row r="15" spans="1:6" x14ac:dyDescent="0.25">
      <c r="A15" s="17">
        <v>45996</v>
      </c>
      <c r="B15">
        <v>84</v>
      </c>
      <c r="C15" t="s">
        <v>130</v>
      </c>
      <c r="D15">
        <v>44</v>
      </c>
      <c r="E15" t="s">
        <v>260</v>
      </c>
      <c r="F15">
        <v>71</v>
      </c>
    </row>
    <row r="16" spans="1:6" x14ac:dyDescent="0.25">
      <c r="A16" s="17">
        <v>45996</v>
      </c>
      <c r="B16">
        <v>84</v>
      </c>
      <c r="C16" t="s">
        <v>46</v>
      </c>
      <c r="D16">
        <v>61</v>
      </c>
      <c r="E16" t="s">
        <v>258</v>
      </c>
      <c r="F16">
        <v>71</v>
      </c>
    </row>
    <row r="17" spans="1:6" x14ac:dyDescent="0.25">
      <c r="A17" s="17">
        <v>45996</v>
      </c>
      <c r="B17">
        <v>84</v>
      </c>
      <c r="C17" t="s">
        <v>131</v>
      </c>
      <c r="D17">
        <v>5</v>
      </c>
      <c r="E17" t="s">
        <v>261</v>
      </c>
      <c r="F17">
        <v>71</v>
      </c>
    </row>
    <row r="18" spans="1:6" x14ac:dyDescent="0.25">
      <c r="A18" s="17">
        <v>45996</v>
      </c>
      <c r="B18">
        <v>84</v>
      </c>
      <c r="C18" t="s">
        <v>106</v>
      </c>
      <c r="D18">
        <v>15</v>
      </c>
      <c r="E18" t="s">
        <v>258</v>
      </c>
      <c r="F18">
        <v>71</v>
      </c>
    </row>
    <row r="19" spans="1:6" x14ac:dyDescent="0.25">
      <c r="A19" s="17">
        <v>45996</v>
      </c>
      <c r="B19">
        <v>84</v>
      </c>
      <c r="C19" t="s">
        <v>255</v>
      </c>
      <c r="D19">
        <v>40</v>
      </c>
      <c r="E19" t="s">
        <v>262</v>
      </c>
      <c r="F19">
        <v>71</v>
      </c>
    </row>
    <row r="20" spans="1:6" x14ac:dyDescent="0.25">
      <c r="A20" s="17">
        <v>45996</v>
      </c>
      <c r="B20">
        <v>84</v>
      </c>
      <c r="C20" t="s">
        <v>257</v>
      </c>
      <c r="D20">
        <v>13</v>
      </c>
      <c r="E20" t="s">
        <v>262</v>
      </c>
      <c r="F20">
        <v>71</v>
      </c>
    </row>
    <row r="21" spans="1:6" x14ac:dyDescent="0.25">
      <c r="A21" s="17">
        <v>45996</v>
      </c>
      <c r="B21">
        <v>84</v>
      </c>
      <c r="C21" t="s">
        <v>71</v>
      </c>
      <c r="D21">
        <v>5</v>
      </c>
      <c r="E21" t="s">
        <v>262</v>
      </c>
      <c r="F21">
        <v>71</v>
      </c>
    </row>
    <row r="22" spans="1:6" x14ac:dyDescent="0.25">
      <c r="A22" s="17">
        <v>45996</v>
      </c>
      <c r="B22">
        <v>84</v>
      </c>
      <c r="C22" t="s">
        <v>65</v>
      </c>
      <c r="D22">
        <v>21</v>
      </c>
      <c r="E22" t="s">
        <v>263</v>
      </c>
      <c r="F22">
        <v>71</v>
      </c>
    </row>
    <row r="23" spans="1:6" x14ac:dyDescent="0.25">
      <c r="A23" s="17">
        <v>46000</v>
      </c>
      <c r="B23">
        <v>111</v>
      </c>
      <c r="C23" t="s">
        <v>76</v>
      </c>
      <c r="D23">
        <v>43</v>
      </c>
      <c r="E23" t="s">
        <v>264</v>
      </c>
      <c r="F23">
        <v>75</v>
      </c>
    </row>
    <row r="24" spans="1:6" x14ac:dyDescent="0.25">
      <c r="A24" s="17">
        <v>46003</v>
      </c>
      <c r="B24">
        <v>126</v>
      </c>
      <c r="C24" t="s">
        <v>265</v>
      </c>
      <c r="D24">
        <v>67</v>
      </c>
      <c r="E24" t="s">
        <v>258</v>
      </c>
      <c r="F24">
        <v>78</v>
      </c>
    </row>
    <row r="25" spans="1:6" x14ac:dyDescent="0.25">
      <c r="A25" s="17">
        <v>46003</v>
      </c>
      <c r="B25">
        <v>126</v>
      </c>
      <c r="C25" t="s">
        <v>12</v>
      </c>
      <c r="D25">
        <v>16</v>
      </c>
      <c r="E25" t="s">
        <v>258</v>
      </c>
      <c r="F25">
        <v>78</v>
      </c>
    </row>
    <row r="26" spans="1:6" x14ac:dyDescent="0.25">
      <c r="A26" s="17">
        <v>46003</v>
      </c>
      <c r="B26">
        <v>126</v>
      </c>
      <c r="C26" t="s">
        <v>130</v>
      </c>
      <c r="D26">
        <v>27</v>
      </c>
      <c r="E26" t="s">
        <v>266</v>
      </c>
      <c r="F26">
        <v>78</v>
      </c>
    </row>
    <row r="27" spans="1:6" x14ac:dyDescent="0.25">
      <c r="A27" s="17">
        <v>46003</v>
      </c>
      <c r="B27">
        <v>126</v>
      </c>
      <c r="C27" t="s">
        <v>255</v>
      </c>
      <c r="D27">
        <v>40</v>
      </c>
      <c r="E27" t="s">
        <v>262</v>
      </c>
      <c r="F27">
        <v>78</v>
      </c>
    </row>
    <row r="28" spans="1:6" x14ac:dyDescent="0.25">
      <c r="A28" s="17">
        <v>46003</v>
      </c>
      <c r="B28">
        <v>126</v>
      </c>
      <c r="C28" t="s">
        <v>257</v>
      </c>
      <c r="D28">
        <v>13</v>
      </c>
      <c r="E28" t="s">
        <v>262</v>
      </c>
      <c r="F28">
        <v>78</v>
      </c>
    </row>
    <row r="29" spans="1:6" x14ac:dyDescent="0.25">
      <c r="A29" s="17">
        <v>46003</v>
      </c>
      <c r="B29">
        <v>126</v>
      </c>
      <c r="C29" t="s">
        <v>71</v>
      </c>
      <c r="D29">
        <v>5</v>
      </c>
      <c r="E29" t="s">
        <v>262</v>
      </c>
      <c r="F29">
        <v>78</v>
      </c>
    </row>
    <row r="30" spans="1:6" x14ac:dyDescent="0.25">
      <c r="A30" s="17">
        <v>46003</v>
      </c>
      <c r="B30">
        <v>126</v>
      </c>
      <c r="C30" t="s">
        <v>46</v>
      </c>
      <c r="D30">
        <v>60</v>
      </c>
      <c r="E30" t="s">
        <v>266</v>
      </c>
      <c r="F30">
        <v>78</v>
      </c>
    </row>
    <row r="31" spans="1:6" x14ac:dyDescent="0.25">
      <c r="A31" s="17">
        <v>46003</v>
      </c>
      <c r="B31">
        <v>126</v>
      </c>
      <c r="C31" t="s">
        <v>65</v>
      </c>
      <c r="D31">
        <v>21</v>
      </c>
      <c r="E31" t="s">
        <v>262</v>
      </c>
      <c r="F31">
        <v>78</v>
      </c>
    </row>
    <row r="32" spans="1:6" x14ac:dyDescent="0.25">
      <c r="A32" s="17">
        <v>46003</v>
      </c>
      <c r="B32">
        <v>126</v>
      </c>
      <c r="C32" t="s">
        <v>131</v>
      </c>
      <c r="D32">
        <v>3</v>
      </c>
      <c r="E32" t="s">
        <v>266</v>
      </c>
      <c r="F32">
        <v>78</v>
      </c>
    </row>
    <row r="33" spans="1:6" x14ac:dyDescent="0.25">
      <c r="A33" s="17">
        <v>46003</v>
      </c>
      <c r="B33">
        <v>126</v>
      </c>
      <c r="C33" t="s">
        <v>106</v>
      </c>
      <c r="D33">
        <v>8</v>
      </c>
      <c r="E33" t="s">
        <v>266</v>
      </c>
      <c r="F33">
        <v>78</v>
      </c>
    </row>
    <row r="34" spans="1:6" x14ac:dyDescent="0.25">
      <c r="A34" s="17">
        <v>46003</v>
      </c>
      <c r="B34">
        <v>126</v>
      </c>
      <c r="C34" t="s">
        <v>76</v>
      </c>
      <c r="D34">
        <v>43</v>
      </c>
      <c r="E34" t="s">
        <v>262</v>
      </c>
      <c r="F34">
        <v>78</v>
      </c>
    </row>
    <row r="35" spans="1:6" x14ac:dyDescent="0.25">
      <c r="A35" s="17">
        <v>46007</v>
      </c>
      <c r="B35">
        <v>135</v>
      </c>
      <c r="C35" t="s">
        <v>57</v>
      </c>
      <c r="D35">
        <v>44</v>
      </c>
      <c r="E35" t="s">
        <v>258</v>
      </c>
      <c r="F35">
        <v>82</v>
      </c>
    </row>
    <row r="36" spans="1:6" x14ac:dyDescent="0.25">
      <c r="A36" s="17">
        <v>46007</v>
      </c>
      <c r="B36">
        <v>135</v>
      </c>
      <c r="C36" t="s">
        <v>265</v>
      </c>
      <c r="D36">
        <v>67</v>
      </c>
      <c r="E36" t="s">
        <v>262</v>
      </c>
      <c r="F36">
        <v>82</v>
      </c>
    </row>
    <row r="37" spans="1:6" x14ac:dyDescent="0.25">
      <c r="A37" s="17">
        <v>46007</v>
      </c>
      <c r="B37">
        <v>135</v>
      </c>
      <c r="C37" t="s">
        <v>12</v>
      </c>
      <c r="D37">
        <v>16</v>
      </c>
      <c r="E37" t="s">
        <v>262</v>
      </c>
      <c r="F37">
        <v>82</v>
      </c>
    </row>
    <row r="38" spans="1:6" x14ac:dyDescent="0.25">
      <c r="A38" s="17">
        <v>46010</v>
      </c>
      <c r="B38">
        <v>144</v>
      </c>
      <c r="C38" t="s">
        <v>78</v>
      </c>
      <c r="D38">
        <v>56</v>
      </c>
      <c r="E38" t="s">
        <v>267</v>
      </c>
      <c r="F38">
        <v>85</v>
      </c>
    </row>
    <row r="39" spans="1:6" x14ac:dyDescent="0.25">
      <c r="A39" s="17">
        <v>46010</v>
      </c>
      <c r="B39">
        <v>144</v>
      </c>
      <c r="C39" t="s">
        <v>57</v>
      </c>
      <c r="D39">
        <v>35</v>
      </c>
      <c r="E39" t="s">
        <v>266</v>
      </c>
      <c r="F39">
        <v>85</v>
      </c>
    </row>
    <row r="40" spans="1:6" x14ac:dyDescent="0.25">
      <c r="A40" s="17">
        <v>46010</v>
      </c>
      <c r="B40">
        <v>144</v>
      </c>
      <c r="C40" t="s">
        <v>265</v>
      </c>
      <c r="D40">
        <v>66</v>
      </c>
      <c r="E40" t="s">
        <v>266</v>
      </c>
      <c r="F40">
        <v>85</v>
      </c>
    </row>
    <row r="41" spans="1:6" x14ac:dyDescent="0.25">
      <c r="A41" s="17">
        <v>46010</v>
      </c>
      <c r="B41">
        <v>144</v>
      </c>
      <c r="C41" t="s">
        <v>12</v>
      </c>
      <c r="D41">
        <v>17</v>
      </c>
      <c r="E41" t="s">
        <v>266</v>
      </c>
      <c r="F41">
        <v>85</v>
      </c>
    </row>
    <row r="42" spans="1:6" x14ac:dyDescent="0.25">
      <c r="A42" s="17">
        <v>46021</v>
      </c>
      <c r="B42">
        <v>176</v>
      </c>
      <c r="C42" t="s">
        <v>78</v>
      </c>
      <c r="D42">
        <v>56</v>
      </c>
      <c r="E42" t="s">
        <v>262</v>
      </c>
      <c r="F42">
        <v>96</v>
      </c>
    </row>
    <row r="43" spans="1:6" x14ac:dyDescent="0.25">
      <c r="A43" s="17">
        <v>46021</v>
      </c>
      <c r="B43">
        <v>176</v>
      </c>
      <c r="C43" t="s">
        <v>57</v>
      </c>
      <c r="D43">
        <v>35</v>
      </c>
      <c r="E43" t="s">
        <v>262</v>
      </c>
      <c r="F43">
        <v>96</v>
      </c>
    </row>
    <row r="44" spans="1:6" x14ac:dyDescent="0.25">
      <c r="A44" s="17">
        <v>46021</v>
      </c>
      <c r="B44">
        <v>176</v>
      </c>
      <c r="C44" t="s">
        <v>265</v>
      </c>
      <c r="D44">
        <v>66</v>
      </c>
      <c r="E44" t="s">
        <v>262</v>
      </c>
      <c r="F44">
        <v>96</v>
      </c>
    </row>
    <row r="45" spans="1:6" x14ac:dyDescent="0.25">
      <c r="A45" s="17">
        <v>46021</v>
      </c>
      <c r="B45">
        <v>176</v>
      </c>
      <c r="C45" t="s">
        <v>12</v>
      </c>
      <c r="D45">
        <v>17</v>
      </c>
      <c r="E45" t="s">
        <v>262</v>
      </c>
      <c r="F45">
        <v>96</v>
      </c>
    </row>
    <row r="46" spans="1:6" x14ac:dyDescent="0.25">
      <c r="A46" s="17">
        <v>46028</v>
      </c>
      <c r="B46">
        <v>211</v>
      </c>
      <c r="C46" t="s">
        <v>28</v>
      </c>
      <c r="D46">
        <v>9</v>
      </c>
      <c r="E46" t="s">
        <v>268</v>
      </c>
      <c r="F46">
        <v>103</v>
      </c>
    </row>
    <row r="47" spans="1:6" x14ac:dyDescent="0.25">
      <c r="A47" s="17">
        <v>46028</v>
      </c>
      <c r="B47">
        <v>211</v>
      </c>
      <c r="C47" t="s">
        <v>12</v>
      </c>
      <c r="D47">
        <v>9</v>
      </c>
      <c r="E47" t="s">
        <v>269</v>
      </c>
      <c r="F47">
        <v>103</v>
      </c>
    </row>
    <row r="48" spans="1:6" x14ac:dyDescent="0.25">
      <c r="A48" s="17">
        <v>46031</v>
      </c>
      <c r="B48">
        <v>310</v>
      </c>
      <c r="C48" t="s">
        <v>140</v>
      </c>
      <c r="D48">
        <v>0</v>
      </c>
      <c r="E48" t="s">
        <v>270</v>
      </c>
      <c r="F48">
        <v>106</v>
      </c>
    </row>
    <row r="49" spans="1:6" x14ac:dyDescent="0.25">
      <c r="A49" s="17">
        <v>46038</v>
      </c>
      <c r="B49">
        <v>558</v>
      </c>
      <c r="C49" t="s">
        <v>33</v>
      </c>
      <c r="D49">
        <v>53</v>
      </c>
      <c r="E49" t="s">
        <v>258</v>
      </c>
      <c r="F49">
        <v>113</v>
      </c>
    </row>
    <row r="50" spans="1:6" x14ac:dyDescent="0.25">
      <c r="A50" s="17">
        <v>46038</v>
      </c>
      <c r="B50">
        <v>558</v>
      </c>
      <c r="C50" t="s">
        <v>265</v>
      </c>
      <c r="D50">
        <v>46</v>
      </c>
      <c r="E50" t="s">
        <v>271</v>
      </c>
      <c r="F50">
        <v>113</v>
      </c>
    </row>
    <row r="51" spans="1:6" x14ac:dyDescent="0.25">
      <c r="A51" s="17">
        <v>46038</v>
      </c>
      <c r="B51">
        <v>558</v>
      </c>
      <c r="C51" t="s">
        <v>272</v>
      </c>
      <c r="D51">
        <v>22</v>
      </c>
      <c r="E51" t="s">
        <v>273</v>
      </c>
      <c r="F51">
        <v>113</v>
      </c>
    </row>
    <row r="52" spans="1:6" x14ac:dyDescent="0.25">
      <c r="A52" s="17">
        <v>46038</v>
      </c>
      <c r="B52">
        <v>558</v>
      </c>
      <c r="C52" t="s">
        <v>274</v>
      </c>
      <c r="D52">
        <v>15</v>
      </c>
      <c r="E52" t="s">
        <v>275</v>
      </c>
      <c r="F52">
        <v>113</v>
      </c>
    </row>
    <row r="53" spans="1:6" x14ac:dyDescent="0.25">
      <c r="A53" s="17">
        <v>46038</v>
      </c>
      <c r="B53">
        <v>558</v>
      </c>
      <c r="C53" t="s">
        <v>130</v>
      </c>
      <c r="D53">
        <v>14</v>
      </c>
      <c r="E53" t="s">
        <v>276</v>
      </c>
      <c r="F53">
        <v>113</v>
      </c>
    </row>
    <row r="54" spans="1:6" x14ac:dyDescent="0.25">
      <c r="A54" s="17">
        <v>46038</v>
      </c>
      <c r="B54">
        <v>558</v>
      </c>
      <c r="C54" t="s">
        <v>57</v>
      </c>
      <c r="D54">
        <v>14</v>
      </c>
      <c r="E54" t="s">
        <v>271</v>
      </c>
      <c r="F54">
        <v>113</v>
      </c>
    </row>
    <row r="55" spans="1:6" x14ac:dyDescent="0.25">
      <c r="A55" s="17">
        <v>46038</v>
      </c>
      <c r="B55">
        <v>558</v>
      </c>
      <c r="C55" t="s">
        <v>80</v>
      </c>
      <c r="D55">
        <v>6</v>
      </c>
      <c r="E55" t="s">
        <v>258</v>
      </c>
      <c r="F55">
        <v>113</v>
      </c>
    </row>
    <row r="56" spans="1:6" x14ac:dyDescent="0.25">
      <c r="A56" s="17">
        <v>46038</v>
      </c>
      <c r="B56">
        <v>558</v>
      </c>
      <c r="C56" t="s">
        <v>257</v>
      </c>
      <c r="D56">
        <v>6</v>
      </c>
      <c r="E56" t="s">
        <v>262</v>
      </c>
      <c r="F56">
        <v>113</v>
      </c>
    </row>
    <row r="57" spans="1:6" x14ac:dyDescent="0.25">
      <c r="A57" s="17">
        <v>46038</v>
      </c>
      <c r="B57">
        <v>558</v>
      </c>
      <c r="C57" t="s">
        <v>35</v>
      </c>
      <c r="D57">
        <v>5</v>
      </c>
      <c r="E57" t="s">
        <v>258</v>
      </c>
      <c r="F57">
        <v>113</v>
      </c>
    </row>
    <row r="58" spans="1:6" x14ac:dyDescent="0.25">
      <c r="A58" s="17">
        <v>46042</v>
      </c>
      <c r="B58">
        <v>646</v>
      </c>
      <c r="C58" t="s">
        <v>277</v>
      </c>
      <c r="D58">
        <v>17</v>
      </c>
      <c r="E58" t="s">
        <v>278</v>
      </c>
      <c r="F58">
        <v>117</v>
      </c>
    </row>
    <row r="59" spans="1:6" x14ac:dyDescent="0.25">
      <c r="A59" s="17">
        <v>46042</v>
      </c>
      <c r="B59">
        <v>646</v>
      </c>
      <c r="C59" t="s">
        <v>245</v>
      </c>
      <c r="D59">
        <v>13</v>
      </c>
      <c r="E59" t="s">
        <v>279</v>
      </c>
      <c r="F59">
        <v>117</v>
      </c>
    </row>
    <row r="60" spans="1:6" x14ac:dyDescent="0.25">
      <c r="A60" s="17">
        <v>46042</v>
      </c>
      <c r="B60">
        <v>646</v>
      </c>
      <c r="C60" t="s">
        <v>33</v>
      </c>
      <c r="D60">
        <v>59</v>
      </c>
      <c r="E60" t="s">
        <v>266</v>
      </c>
      <c r="F60">
        <v>117</v>
      </c>
    </row>
    <row r="61" spans="1:6" x14ac:dyDescent="0.25">
      <c r="A61" s="17">
        <v>46042</v>
      </c>
      <c r="B61">
        <v>646</v>
      </c>
      <c r="C61" t="s">
        <v>265</v>
      </c>
      <c r="D61">
        <v>46</v>
      </c>
      <c r="E61" t="s">
        <v>262</v>
      </c>
      <c r="F61">
        <v>117</v>
      </c>
    </row>
    <row r="62" spans="1:6" x14ac:dyDescent="0.25">
      <c r="A62" s="17">
        <v>46042</v>
      </c>
      <c r="B62">
        <v>646</v>
      </c>
      <c r="C62" t="s">
        <v>272</v>
      </c>
      <c r="D62">
        <v>22</v>
      </c>
      <c r="E62" t="s">
        <v>262</v>
      </c>
      <c r="F62">
        <v>117</v>
      </c>
    </row>
    <row r="63" spans="1:6" x14ac:dyDescent="0.25">
      <c r="A63" s="17">
        <v>46042</v>
      </c>
      <c r="B63">
        <v>646</v>
      </c>
      <c r="C63" t="s">
        <v>274</v>
      </c>
      <c r="D63">
        <v>15</v>
      </c>
      <c r="E63" t="s">
        <v>262</v>
      </c>
      <c r="F63">
        <v>117</v>
      </c>
    </row>
    <row r="64" spans="1:6" x14ac:dyDescent="0.25">
      <c r="A64" s="17">
        <v>46042</v>
      </c>
      <c r="B64">
        <v>646</v>
      </c>
      <c r="C64" t="s">
        <v>130</v>
      </c>
      <c r="D64">
        <v>14</v>
      </c>
      <c r="E64" t="s">
        <v>262</v>
      </c>
      <c r="F64">
        <v>117</v>
      </c>
    </row>
    <row r="65" spans="1:6" x14ac:dyDescent="0.25">
      <c r="A65" s="17">
        <v>46042</v>
      </c>
      <c r="B65">
        <v>646</v>
      </c>
      <c r="C65" t="s">
        <v>57</v>
      </c>
      <c r="D65">
        <v>14</v>
      </c>
      <c r="E65" t="s">
        <v>262</v>
      </c>
      <c r="F65">
        <v>117</v>
      </c>
    </row>
    <row r="66" spans="1:6" x14ac:dyDescent="0.25">
      <c r="A66" s="17">
        <v>46042</v>
      </c>
      <c r="B66">
        <v>646</v>
      </c>
      <c r="C66" t="s">
        <v>80</v>
      </c>
      <c r="D66">
        <v>6</v>
      </c>
      <c r="E66" t="s">
        <v>262</v>
      </c>
      <c r="F66">
        <v>117</v>
      </c>
    </row>
    <row r="67" spans="1:6" x14ac:dyDescent="0.25">
      <c r="A67" s="17">
        <v>46042</v>
      </c>
      <c r="B67">
        <v>646</v>
      </c>
      <c r="C67" t="s">
        <v>257</v>
      </c>
      <c r="D67">
        <v>6</v>
      </c>
      <c r="E67" t="s">
        <v>262</v>
      </c>
      <c r="F67">
        <v>117</v>
      </c>
    </row>
    <row r="68" spans="1:6" x14ac:dyDescent="0.25">
      <c r="A68" s="17">
        <v>46042</v>
      </c>
      <c r="B68">
        <v>646</v>
      </c>
      <c r="C68" t="s">
        <v>35</v>
      </c>
      <c r="D68">
        <v>6</v>
      </c>
      <c r="E68" t="s">
        <v>266</v>
      </c>
      <c r="F68">
        <v>117</v>
      </c>
    </row>
    <row r="69" spans="1:6" x14ac:dyDescent="0.25">
      <c r="A69" s="17">
        <v>46042</v>
      </c>
      <c r="B69">
        <v>646</v>
      </c>
      <c r="C69" t="s">
        <v>280</v>
      </c>
      <c r="D69">
        <v>34</v>
      </c>
      <c r="E69" t="s">
        <v>281</v>
      </c>
      <c r="F69">
        <v>117</v>
      </c>
    </row>
    <row r="70" spans="1:6" x14ac:dyDescent="0.25">
      <c r="A70" s="17">
        <v>46042</v>
      </c>
      <c r="B70">
        <v>646</v>
      </c>
      <c r="C70" t="s">
        <v>282</v>
      </c>
      <c r="D70">
        <v>50</v>
      </c>
      <c r="E70" t="s">
        <v>281</v>
      </c>
      <c r="F70">
        <v>117</v>
      </c>
    </row>
    <row r="71" spans="1:6" x14ac:dyDescent="0.25">
      <c r="A71" s="17">
        <v>46045</v>
      </c>
      <c r="B71">
        <v>700</v>
      </c>
      <c r="C71" t="s">
        <v>45</v>
      </c>
      <c r="D71">
        <v>22</v>
      </c>
      <c r="E71" t="s">
        <v>258</v>
      </c>
      <c r="F71">
        <v>120</v>
      </c>
    </row>
    <row r="72" spans="1:6" x14ac:dyDescent="0.25">
      <c r="A72" s="17">
        <v>46045</v>
      </c>
      <c r="B72">
        <v>700</v>
      </c>
      <c r="C72" t="s">
        <v>119</v>
      </c>
      <c r="D72">
        <v>8</v>
      </c>
      <c r="E72" t="s">
        <v>258</v>
      </c>
      <c r="F72">
        <v>120</v>
      </c>
    </row>
    <row r="73" spans="1:6" x14ac:dyDescent="0.25">
      <c r="A73" s="17">
        <v>46045</v>
      </c>
      <c r="B73">
        <v>700</v>
      </c>
      <c r="C73" t="s">
        <v>67</v>
      </c>
      <c r="D73">
        <v>0</v>
      </c>
      <c r="E73" t="s">
        <v>283</v>
      </c>
      <c r="F73">
        <v>120</v>
      </c>
    </row>
    <row r="74" spans="1:6" x14ac:dyDescent="0.25">
      <c r="A74" s="17">
        <v>46045</v>
      </c>
      <c r="B74">
        <v>700</v>
      </c>
      <c r="C74" t="s">
        <v>92</v>
      </c>
      <c r="D74">
        <v>0</v>
      </c>
      <c r="E74" t="s">
        <v>283</v>
      </c>
      <c r="F74">
        <v>120</v>
      </c>
    </row>
    <row r="75" spans="1:6" x14ac:dyDescent="0.25">
      <c r="A75" s="17">
        <v>46045</v>
      </c>
      <c r="B75">
        <v>700</v>
      </c>
      <c r="C75" t="s">
        <v>28</v>
      </c>
      <c r="D75">
        <v>0</v>
      </c>
      <c r="E75" t="s">
        <v>283</v>
      </c>
      <c r="F75">
        <v>120</v>
      </c>
    </row>
    <row r="76" spans="1:6" x14ac:dyDescent="0.25">
      <c r="A76" s="17">
        <v>46045</v>
      </c>
      <c r="B76">
        <v>700</v>
      </c>
      <c r="C76" t="s">
        <v>33</v>
      </c>
      <c r="D76">
        <v>59</v>
      </c>
      <c r="E76" t="s">
        <v>262</v>
      </c>
      <c r="F76">
        <v>120</v>
      </c>
    </row>
    <row r="77" spans="1:6" x14ac:dyDescent="0.25">
      <c r="A77" s="17">
        <v>46045</v>
      </c>
      <c r="B77">
        <v>700</v>
      </c>
      <c r="C77" t="s">
        <v>265</v>
      </c>
      <c r="D77">
        <v>46</v>
      </c>
      <c r="E77" t="s">
        <v>262</v>
      </c>
      <c r="F77">
        <v>120</v>
      </c>
    </row>
    <row r="78" spans="1:6" x14ac:dyDescent="0.25">
      <c r="A78" s="17">
        <v>46045</v>
      </c>
      <c r="B78">
        <v>700</v>
      </c>
      <c r="C78" t="s">
        <v>274</v>
      </c>
      <c r="D78">
        <v>28</v>
      </c>
      <c r="E78" t="s">
        <v>266</v>
      </c>
      <c r="F78">
        <v>120</v>
      </c>
    </row>
    <row r="79" spans="1:6" x14ac:dyDescent="0.25">
      <c r="A79" s="17">
        <v>46045</v>
      </c>
      <c r="B79">
        <v>700</v>
      </c>
      <c r="C79" t="s">
        <v>272</v>
      </c>
      <c r="D79">
        <v>22</v>
      </c>
      <c r="E79" t="s">
        <v>262</v>
      </c>
      <c r="F79">
        <v>120</v>
      </c>
    </row>
    <row r="80" spans="1:6" x14ac:dyDescent="0.25">
      <c r="A80" s="17">
        <v>46045</v>
      </c>
      <c r="B80">
        <v>700</v>
      </c>
      <c r="C80" t="s">
        <v>12</v>
      </c>
      <c r="D80">
        <v>21</v>
      </c>
      <c r="E80" t="s">
        <v>284</v>
      </c>
      <c r="F80">
        <v>120</v>
      </c>
    </row>
    <row r="81" spans="1:6" x14ac:dyDescent="0.25">
      <c r="A81" s="17">
        <v>46045</v>
      </c>
      <c r="B81">
        <v>700</v>
      </c>
      <c r="C81" t="s">
        <v>277</v>
      </c>
      <c r="D81">
        <v>17</v>
      </c>
      <c r="E81" t="s">
        <v>262</v>
      </c>
      <c r="F81">
        <v>120</v>
      </c>
    </row>
    <row r="82" spans="1:6" x14ac:dyDescent="0.25">
      <c r="A82" s="17">
        <v>46045</v>
      </c>
      <c r="B82">
        <v>700</v>
      </c>
      <c r="C82" t="s">
        <v>130</v>
      </c>
      <c r="D82">
        <v>13</v>
      </c>
      <c r="E82" t="s">
        <v>266</v>
      </c>
      <c r="F82">
        <v>120</v>
      </c>
    </row>
    <row r="83" spans="1:6" x14ac:dyDescent="0.25">
      <c r="A83" s="17">
        <v>46045</v>
      </c>
      <c r="B83">
        <v>700</v>
      </c>
      <c r="C83" t="s">
        <v>57</v>
      </c>
      <c r="D83">
        <v>13</v>
      </c>
      <c r="E83" t="s">
        <v>266</v>
      </c>
      <c r="F83">
        <v>120</v>
      </c>
    </row>
    <row r="84" spans="1:6" x14ac:dyDescent="0.25">
      <c r="A84" s="17">
        <v>46045</v>
      </c>
      <c r="B84">
        <v>700</v>
      </c>
      <c r="C84" t="s">
        <v>46</v>
      </c>
      <c r="D84">
        <v>12</v>
      </c>
      <c r="E84" t="s">
        <v>262</v>
      </c>
      <c r="F84">
        <v>120</v>
      </c>
    </row>
    <row r="85" spans="1:6" x14ac:dyDescent="0.25">
      <c r="A85" s="17">
        <v>46045</v>
      </c>
      <c r="B85">
        <v>700</v>
      </c>
      <c r="C85" t="s">
        <v>245</v>
      </c>
      <c r="D85">
        <v>11</v>
      </c>
      <c r="E85" t="s">
        <v>266</v>
      </c>
      <c r="F85">
        <v>120</v>
      </c>
    </row>
    <row r="86" spans="1:6" x14ac:dyDescent="0.25">
      <c r="A86" s="17">
        <v>46045</v>
      </c>
      <c r="B86">
        <v>700</v>
      </c>
      <c r="C86" t="s">
        <v>16</v>
      </c>
      <c r="D86">
        <v>11</v>
      </c>
      <c r="E86" t="s">
        <v>258</v>
      </c>
      <c r="F86">
        <v>120</v>
      </c>
    </row>
    <row r="87" spans="1:6" x14ac:dyDescent="0.25">
      <c r="A87" s="17">
        <v>46045</v>
      </c>
      <c r="B87">
        <v>700</v>
      </c>
      <c r="C87" t="s">
        <v>35</v>
      </c>
      <c r="D87">
        <v>6</v>
      </c>
      <c r="E87" t="s">
        <v>262</v>
      </c>
      <c r="F87">
        <v>120</v>
      </c>
    </row>
    <row r="88" spans="1:6" x14ac:dyDescent="0.25">
      <c r="A88" s="17">
        <v>46045</v>
      </c>
      <c r="B88">
        <v>700</v>
      </c>
      <c r="C88" t="s">
        <v>80</v>
      </c>
      <c r="D88">
        <v>6</v>
      </c>
      <c r="E88" t="s">
        <v>262</v>
      </c>
      <c r="F88">
        <v>120</v>
      </c>
    </row>
    <row r="89" spans="1:6" x14ac:dyDescent="0.25">
      <c r="A89" s="17">
        <v>46045</v>
      </c>
      <c r="B89">
        <v>700</v>
      </c>
      <c r="C89" t="s">
        <v>257</v>
      </c>
      <c r="D89">
        <v>6</v>
      </c>
      <c r="E89" t="s">
        <v>262</v>
      </c>
      <c r="F89">
        <v>120</v>
      </c>
    </row>
    <row r="90" spans="1:6" x14ac:dyDescent="0.25">
      <c r="A90" s="17">
        <v>46045</v>
      </c>
      <c r="B90">
        <v>700</v>
      </c>
      <c r="C90" t="s">
        <v>71</v>
      </c>
      <c r="D90">
        <v>5</v>
      </c>
      <c r="E90" t="s">
        <v>285</v>
      </c>
      <c r="F90">
        <v>120</v>
      </c>
    </row>
    <row r="91" spans="1:6" x14ac:dyDescent="0.25">
      <c r="A91" s="17">
        <v>46049</v>
      </c>
      <c r="B91">
        <v>789</v>
      </c>
      <c r="C91" t="s">
        <v>108</v>
      </c>
      <c r="D91">
        <v>0</v>
      </c>
      <c r="E91" t="s">
        <v>286</v>
      </c>
      <c r="F91">
        <v>124</v>
      </c>
    </row>
    <row r="92" spans="1:6" x14ac:dyDescent="0.25">
      <c r="A92" s="17">
        <v>46049</v>
      </c>
      <c r="B92">
        <v>789</v>
      </c>
      <c r="C92" t="s">
        <v>76</v>
      </c>
      <c r="D92">
        <v>0</v>
      </c>
      <c r="E92" t="s">
        <v>287</v>
      </c>
      <c r="F92">
        <v>124</v>
      </c>
    </row>
    <row r="93" spans="1:6" x14ac:dyDescent="0.25">
      <c r="A93" s="17">
        <v>46049</v>
      </c>
      <c r="B93">
        <v>789</v>
      </c>
      <c r="C93" t="s">
        <v>78</v>
      </c>
      <c r="D93">
        <v>0</v>
      </c>
      <c r="E93" t="s">
        <v>287</v>
      </c>
      <c r="F93">
        <v>124</v>
      </c>
    </row>
    <row r="94" spans="1:6" x14ac:dyDescent="0.25">
      <c r="A94" s="17">
        <v>46049</v>
      </c>
      <c r="B94">
        <v>789</v>
      </c>
      <c r="C94" t="s">
        <v>33</v>
      </c>
      <c r="D94">
        <v>59</v>
      </c>
      <c r="E94" t="s">
        <v>262</v>
      </c>
      <c r="F94">
        <v>124</v>
      </c>
    </row>
    <row r="95" spans="1:6" x14ac:dyDescent="0.25">
      <c r="A95" s="17">
        <v>46049</v>
      </c>
      <c r="B95">
        <v>789</v>
      </c>
      <c r="C95" t="s">
        <v>265</v>
      </c>
      <c r="D95">
        <v>46</v>
      </c>
      <c r="E95" t="s">
        <v>262</v>
      </c>
      <c r="F95">
        <v>124</v>
      </c>
    </row>
    <row r="96" spans="1:6" x14ac:dyDescent="0.25">
      <c r="A96" s="17">
        <v>46049</v>
      </c>
      <c r="B96">
        <v>789</v>
      </c>
      <c r="C96" t="s">
        <v>274</v>
      </c>
      <c r="D96">
        <v>28</v>
      </c>
      <c r="E96" t="s">
        <v>262</v>
      </c>
      <c r="F96">
        <v>124</v>
      </c>
    </row>
    <row r="97" spans="1:6" x14ac:dyDescent="0.25">
      <c r="A97" s="17">
        <v>46049</v>
      </c>
      <c r="B97">
        <v>789</v>
      </c>
      <c r="C97" t="s">
        <v>45</v>
      </c>
      <c r="D97">
        <v>22</v>
      </c>
      <c r="E97" t="s">
        <v>262</v>
      </c>
      <c r="F97">
        <v>124</v>
      </c>
    </row>
    <row r="98" spans="1:6" x14ac:dyDescent="0.25">
      <c r="A98" s="17">
        <v>46049</v>
      </c>
      <c r="B98">
        <v>789</v>
      </c>
      <c r="C98" t="s">
        <v>272</v>
      </c>
      <c r="D98">
        <v>22</v>
      </c>
      <c r="E98" t="s">
        <v>262</v>
      </c>
      <c r="F98">
        <v>124</v>
      </c>
    </row>
    <row r="99" spans="1:6" x14ac:dyDescent="0.25">
      <c r="A99" s="17">
        <v>46049</v>
      </c>
      <c r="B99">
        <v>789</v>
      </c>
      <c r="C99" t="s">
        <v>12</v>
      </c>
      <c r="D99">
        <v>21</v>
      </c>
      <c r="E99" t="s">
        <v>262</v>
      </c>
      <c r="F99">
        <v>124</v>
      </c>
    </row>
    <row r="100" spans="1:6" x14ac:dyDescent="0.25">
      <c r="A100" s="17">
        <v>46049</v>
      </c>
      <c r="B100">
        <v>789</v>
      </c>
      <c r="C100" t="s">
        <v>277</v>
      </c>
      <c r="D100">
        <v>17</v>
      </c>
      <c r="E100" t="s">
        <v>262</v>
      </c>
      <c r="F100">
        <v>124</v>
      </c>
    </row>
    <row r="101" spans="1:6" x14ac:dyDescent="0.25">
      <c r="A101" s="17">
        <v>46049</v>
      </c>
      <c r="B101">
        <v>789</v>
      </c>
      <c r="C101" t="s">
        <v>28</v>
      </c>
      <c r="D101">
        <v>17</v>
      </c>
      <c r="E101" t="s">
        <v>266</v>
      </c>
      <c r="F101">
        <v>124</v>
      </c>
    </row>
    <row r="102" spans="1:6" x14ac:dyDescent="0.25">
      <c r="A102" s="17">
        <v>46049</v>
      </c>
      <c r="B102">
        <v>789</v>
      </c>
      <c r="C102" t="s">
        <v>130</v>
      </c>
      <c r="D102">
        <v>13</v>
      </c>
      <c r="E102" t="s">
        <v>262</v>
      </c>
      <c r="F102">
        <v>124</v>
      </c>
    </row>
    <row r="103" spans="1:6" x14ac:dyDescent="0.25">
      <c r="A103" s="17">
        <v>46049</v>
      </c>
      <c r="B103">
        <v>789</v>
      </c>
      <c r="C103" t="s">
        <v>57</v>
      </c>
      <c r="D103">
        <v>13</v>
      </c>
      <c r="E103" t="s">
        <v>262</v>
      </c>
      <c r="F103">
        <v>124</v>
      </c>
    </row>
    <row r="104" spans="1:6" x14ac:dyDescent="0.25">
      <c r="A104" s="17">
        <v>46049</v>
      </c>
      <c r="B104">
        <v>789</v>
      </c>
      <c r="C104" t="s">
        <v>46</v>
      </c>
      <c r="D104">
        <v>12</v>
      </c>
      <c r="E104" t="s">
        <v>262</v>
      </c>
      <c r="F104">
        <v>124</v>
      </c>
    </row>
    <row r="105" spans="1:6" x14ac:dyDescent="0.25">
      <c r="A105" s="17">
        <v>46049</v>
      </c>
      <c r="B105">
        <v>789</v>
      </c>
      <c r="C105" t="s">
        <v>245</v>
      </c>
      <c r="D105">
        <v>11</v>
      </c>
      <c r="E105" t="s">
        <v>262</v>
      </c>
      <c r="F105">
        <v>124</v>
      </c>
    </row>
    <row r="106" spans="1:6" x14ac:dyDescent="0.25">
      <c r="A106" s="17">
        <v>46049</v>
      </c>
      <c r="B106">
        <v>789</v>
      </c>
      <c r="C106" t="s">
        <v>16</v>
      </c>
      <c r="D106">
        <v>11</v>
      </c>
      <c r="E106" t="s">
        <v>262</v>
      </c>
      <c r="F106">
        <v>124</v>
      </c>
    </row>
    <row r="107" spans="1:6" x14ac:dyDescent="0.25">
      <c r="A107" s="17">
        <v>46049</v>
      </c>
      <c r="B107">
        <v>789</v>
      </c>
      <c r="C107" t="s">
        <v>92</v>
      </c>
      <c r="D107">
        <v>8</v>
      </c>
      <c r="E107" t="s">
        <v>266</v>
      </c>
      <c r="F107">
        <v>124</v>
      </c>
    </row>
    <row r="108" spans="1:6" x14ac:dyDescent="0.25">
      <c r="A108" s="17">
        <v>46049</v>
      </c>
      <c r="B108">
        <v>789</v>
      </c>
      <c r="C108" t="s">
        <v>119</v>
      </c>
      <c r="D108">
        <v>8</v>
      </c>
      <c r="E108" t="s">
        <v>262</v>
      </c>
      <c r="F108">
        <v>124</v>
      </c>
    </row>
    <row r="109" spans="1:6" x14ac:dyDescent="0.25">
      <c r="A109" s="17">
        <v>46049</v>
      </c>
      <c r="B109">
        <v>789</v>
      </c>
      <c r="C109" t="s">
        <v>67</v>
      </c>
      <c r="D109">
        <v>7</v>
      </c>
      <c r="E109" t="s">
        <v>266</v>
      </c>
      <c r="F109">
        <v>124</v>
      </c>
    </row>
    <row r="110" spans="1:6" x14ac:dyDescent="0.25">
      <c r="A110" s="17">
        <v>46049</v>
      </c>
      <c r="B110">
        <v>789</v>
      </c>
      <c r="C110" t="s">
        <v>35</v>
      </c>
      <c r="D110">
        <v>6</v>
      </c>
      <c r="E110" t="s">
        <v>262</v>
      </c>
      <c r="F110">
        <v>124</v>
      </c>
    </row>
    <row r="111" spans="1:6" x14ac:dyDescent="0.25">
      <c r="A111" s="17">
        <v>46049</v>
      </c>
      <c r="B111">
        <v>789</v>
      </c>
      <c r="C111" t="s">
        <v>80</v>
      </c>
      <c r="D111">
        <v>6</v>
      </c>
      <c r="E111" t="s">
        <v>262</v>
      </c>
      <c r="F111">
        <v>124</v>
      </c>
    </row>
    <row r="112" spans="1:6" x14ac:dyDescent="0.25">
      <c r="A112" s="17">
        <v>46049</v>
      </c>
      <c r="B112">
        <v>789</v>
      </c>
      <c r="C112" t="s">
        <v>257</v>
      </c>
      <c r="D112">
        <v>6</v>
      </c>
      <c r="E112" t="s">
        <v>262</v>
      </c>
      <c r="F112">
        <v>124</v>
      </c>
    </row>
    <row r="113" spans="1:6" x14ac:dyDescent="0.25">
      <c r="A113" s="17">
        <v>46052</v>
      </c>
      <c r="B113">
        <v>847</v>
      </c>
      <c r="C113" t="s">
        <v>33</v>
      </c>
      <c r="D113">
        <v>59</v>
      </c>
      <c r="E113" t="s">
        <v>262</v>
      </c>
      <c r="F113">
        <v>127</v>
      </c>
    </row>
    <row r="114" spans="1:6" x14ac:dyDescent="0.25">
      <c r="A114" s="17">
        <v>46052</v>
      </c>
      <c r="B114">
        <v>847</v>
      </c>
      <c r="C114" t="s">
        <v>67</v>
      </c>
      <c r="D114">
        <v>35</v>
      </c>
      <c r="E114" t="s">
        <v>266</v>
      </c>
      <c r="F114">
        <v>127</v>
      </c>
    </row>
    <row r="115" spans="1:6" x14ac:dyDescent="0.25">
      <c r="A115" s="17">
        <v>46052</v>
      </c>
      <c r="B115">
        <v>847</v>
      </c>
      <c r="C115" t="s">
        <v>274</v>
      </c>
      <c r="D115">
        <v>28</v>
      </c>
      <c r="E115" t="s">
        <v>262</v>
      </c>
      <c r="F115">
        <v>127</v>
      </c>
    </row>
    <row r="116" spans="1:6" x14ac:dyDescent="0.25">
      <c r="A116" s="17">
        <v>46052</v>
      </c>
      <c r="B116">
        <v>847</v>
      </c>
      <c r="C116" t="s">
        <v>78</v>
      </c>
      <c r="D116">
        <v>25</v>
      </c>
      <c r="E116" t="s">
        <v>266</v>
      </c>
      <c r="F116">
        <v>127</v>
      </c>
    </row>
    <row r="117" spans="1:6" x14ac:dyDescent="0.25">
      <c r="A117" s="17">
        <v>46052</v>
      </c>
      <c r="B117">
        <v>847</v>
      </c>
      <c r="C117" t="s">
        <v>76</v>
      </c>
      <c r="D117">
        <v>22</v>
      </c>
      <c r="E117" t="s">
        <v>266</v>
      </c>
      <c r="F117">
        <v>127</v>
      </c>
    </row>
    <row r="118" spans="1:6" x14ac:dyDescent="0.25">
      <c r="A118" s="17">
        <v>46052</v>
      </c>
      <c r="B118">
        <v>847</v>
      </c>
      <c r="C118" t="s">
        <v>45</v>
      </c>
      <c r="D118">
        <v>22</v>
      </c>
      <c r="E118" t="s">
        <v>262</v>
      </c>
      <c r="F118">
        <v>127</v>
      </c>
    </row>
    <row r="119" spans="1:6" x14ac:dyDescent="0.25">
      <c r="A119" s="17">
        <v>46052</v>
      </c>
      <c r="B119">
        <v>847</v>
      </c>
      <c r="C119" t="s">
        <v>12</v>
      </c>
      <c r="D119">
        <v>21</v>
      </c>
      <c r="E119" t="s">
        <v>262</v>
      </c>
      <c r="F119">
        <v>127</v>
      </c>
    </row>
    <row r="120" spans="1:6" x14ac:dyDescent="0.25">
      <c r="A120" s="17">
        <v>46052</v>
      </c>
      <c r="B120">
        <v>847</v>
      </c>
      <c r="C120" t="s">
        <v>245</v>
      </c>
      <c r="D120">
        <v>11</v>
      </c>
      <c r="E120" t="s">
        <v>262</v>
      </c>
      <c r="F120">
        <v>127</v>
      </c>
    </row>
    <row r="121" spans="1:6" x14ac:dyDescent="0.25">
      <c r="A121" s="17">
        <v>46052</v>
      </c>
      <c r="B121">
        <v>847</v>
      </c>
      <c r="C121" t="s">
        <v>119</v>
      </c>
      <c r="D121">
        <v>8</v>
      </c>
      <c r="E121" t="s">
        <v>262</v>
      </c>
      <c r="F121">
        <v>127</v>
      </c>
    </row>
    <row r="122" spans="1:6" x14ac:dyDescent="0.25">
      <c r="A122" s="17">
        <v>46052</v>
      </c>
      <c r="B122">
        <v>847</v>
      </c>
      <c r="C122" t="s">
        <v>92</v>
      </c>
      <c r="D122">
        <v>8</v>
      </c>
      <c r="E122" t="s">
        <v>262</v>
      </c>
      <c r="F122">
        <v>127</v>
      </c>
    </row>
    <row r="123" spans="1:6" x14ac:dyDescent="0.25">
      <c r="A123" s="17">
        <v>46052</v>
      </c>
      <c r="B123">
        <v>847</v>
      </c>
      <c r="C123" t="s">
        <v>28</v>
      </c>
      <c r="D123">
        <v>5</v>
      </c>
      <c r="E123" t="s">
        <v>288</v>
      </c>
      <c r="F123">
        <v>127</v>
      </c>
    </row>
    <row r="124" spans="1:6" x14ac:dyDescent="0.25">
      <c r="A124" s="17">
        <v>46052</v>
      </c>
      <c r="B124">
        <v>847</v>
      </c>
      <c r="C124" t="s">
        <v>71</v>
      </c>
      <c r="D124">
        <v>5</v>
      </c>
      <c r="E124" t="s">
        <v>288</v>
      </c>
      <c r="F124">
        <v>127</v>
      </c>
    </row>
    <row r="125" spans="1:6" x14ac:dyDescent="0.25">
      <c r="A125" s="17">
        <v>46063</v>
      </c>
      <c r="B125">
        <v>933</v>
      </c>
      <c r="C125" t="s">
        <v>274</v>
      </c>
      <c r="D125">
        <v>9</v>
      </c>
      <c r="E125" t="s">
        <v>289</v>
      </c>
      <c r="F125">
        <v>138</v>
      </c>
    </row>
    <row r="126" spans="1:6" x14ac:dyDescent="0.25">
      <c r="A126" s="17">
        <v>46063</v>
      </c>
      <c r="B126">
        <v>933</v>
      </c>
      <c r="C126" t="s">
        <v>76</v>
      </c>
      <c r="D126">
        <v>5</v>
      </c>
      <c r="E126" t="s">
        <v>285</v>
      </c>
      <c r="F126">
        <v>138</v>
      </c>
    </row>
    <row r="127" spans="1:6" x14ac:dyDescent="0.25">
      <c r="A127" s="17">
        <v>46070</v>
      </c>
      <c r="B127">
        <v>962</v>
      </c>
      <c r="C127" t="s">
        <v>274</v>
      </c>
      <c r="D127">
        <v>17</v>
      </c>
      <c r="E127" t="s">
        <v>289</v>
      </c>
      <c r="F127">
        <v>145</v>
      </c>
    </row>
    <row r="128" spans="1:6" x14ac:dyDescent="0.25">
      <c r="A128" s="17">
        <v>46070</v>
      </c>
      <c r="B128">
        <v>962</v>
      </c>
      <c r="C128" t="s">
        <v>76</v>
      </c>
      <c r="D128">
        <v>5</v>
      </c>
      <c r="E128" t="s">
        <v>285</v>
      </c>
      <c r="F128">
        <v>145</v>
      </c>
    </row>
    <row r="129" spans="1:6" x14ac:dyDescent="0.25">
      <c r="A129" s="17">
        <v>46073</v>
      </c>
      <c r="B129">
        <v>973</v>
      </c>
      <c r="C129" t="s">
        <v>257</v>
      </c>
      <c r="D129">
        <v>0</v>
      </c>
      <c r="E129" t="s">
        <v>286</v>
      </c>
      <c r="F129">
        <v>148</v>
      </c>
    </row>
    <row r="130" spans="1:6" x14ac:dyDescent="0.25">
      <c r="A130" s="17">
        <v>46073</v>
      </c>
      <c r="B130">
        <v>973</v>
      </c>
      <c r="C130" t="s">
        <v>274</v>
      </c>
      <c r="D130">
        <v>17</v>
      </c>
      <c r="E130" t="s">
        <v>262</v>
      </c>
      <c r="F130">
        <v>148</v>
      </c>
    </row>
    <row r="131" spans="1:6" x14ac:dyDescent="0.25">
      <c r="A131" s="17">
        <v>46073</v>
      </c>
      <c r="B131">
        <v>973</v>
      </c>
      <c r="C131" t="s">
        <v>76</v>
      </c>
      <c r="D131">
        <v>5</v>
      </c>
      <c r="E131" t="s">
        <v>285</v>
      </c>
      <c r="F131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SC_1_All_Schools</vt:lpstr>
      <vt:lpstr>SC_2_Multi_Grade_Allocation</vt:lpstr>
      <vt:lpstr>SC_3_Pure_Type_Summary</vt:lpstr>
      <vt:lpstr>SC_4_Final_Assembly</vt:lpstr>
      <vt:lpstr>school_exposure_data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Siyu Chen</cp:lastModifiedBy>
  <cp:revision>0</cp:revision>
  <dcterms:created xsi:type="dcterms:W3CDTF">2026-02-21T14:42:00Z</dcterms:created>
  <dcterms:modified xsi:type="dcterms:W3CDTF">2026-02-23T19:03:36Z</dcterms:modified>
  <dc:language>en-US</dc:language>
</cp:coreProperties>
</file>